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1 Frequencies" sheetId="2" state="visible" r:id="rId2"/>
    <sheet xmlns:r="http://schemas.openxmlformats.org/officeDocument/2006/relationships" name="2 Descriptive" sheetId="3" state="visible" r:id="rId3"/>
    <sheet xmlns:r="http://schemas.openxmlformats.org/officeDocument/2006/relationships" name="3 Association" sheetId="4" state="visible" r:id="rId4"/>
    <sheet xmlns:r="http://schemas.openxmlformats.org/officeDocument/2006/relationships" name="4 Crosst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+0.000;-0.000"/>
    <numFmt numFmtId="167" formatCode="+0.00;-0.00"/>
  </numFmts>
  <fonts count="7">
    <font>
      <name val="Calibri"/>
      <family val="2"/>
      <color theme="1"/>
      <sz val="11"/>
      <scheme val="minor"/>
    </font>
    <font>
      <b val="1"/>
      <color rgb="00162960"/>
      <sz val="10"/>
    </font>
    <font>
      <sz val="12"/>
    </font>
    <font>
      <b val="1"/>
      <color rgb="00162960"/>
      <sz val="14"/>
    </font>
    <font>
      <i val="1"/>
      <color rgb="005C687A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E8EDF5"/>
      </patternFill>
    </fill>
    <fill>
      <patternFill patternType="solid">
        <fgColor rgb="00162960"/>
      </patternFill>
    </fill>
    <fill>
      <patternFill patternType="solid">
        <fgColor rgb="00F5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0" fontId="2" fillId="4" borderId="0" pivotButton="0" quotePrefix="0" xfId="0"/>
    <xf numFmtId="1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5" fontId="6" fillId="0" borderId="0" pivotButton="0" quotePrefix="0" xfId="0"/>
    <xf numFmtId="167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Recommended, 15 compact SUVs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 Frequencies'!B5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'1 Frequencies'!$A$6:$A$7</f>
            </numRef>
          </cat>
          <val>
            <numRef>
              <f>'1 Frequencies'!$B$6:$B$7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— share of the 15</a:t>
            </a:r>
          </a:p>
        </rich>
      </tx>
    </title>
    <plotArea>
      <pieChart>
        <varyColors val="1"/>
        <ser>
          <idx val="0"/>
          <order val="0"/>
          <tx>
            <strRef>
              <f>'1 Frequencies'!B5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'1 Frequencies'!$A$6:$A$7</f>
            </numRef>
          </cat>
          <val>
            <numRef>
              <f>'1 Frequencies'!$B$6:$B$7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 Satisfaction (scale order)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 Frequencies'!B12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'1 Frequencies'!$A$13:$A$16</f>
            </numRef>
          </cat>
          <val>
            <numRef>
              <f>'1 Frequencies'!$B$13:$B$16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 Satisfaction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Make — 11 bars of height 1 (do not use this chart)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 Frequencies'!B26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'1 Frequencies'!$A$27:$A$39</f>
            </numRef>
          </cat>
          <val>
            <numRef>
              <f>'1 Frequencies'!$B$27:$B$39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Make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Score vs Overall MPG</a:t>
            </a:r>
          </a:p>
        </rich>
      </tx>
    </title>
    <plotArea>
      <scatterChart>
        <ser>
          <idx val="0"/>
          <order val="0"/>
          <tx>
            <v>Overall Score vs Overall MPG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'Data'!$F$2:$F$16</f>
            </numRef>
          </xVal>
          <yVal>
            <numRef>
              <f>'Data'!$C$2:$C$16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MPG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Score vs Acceleration 0-60</a:t>
            </a:r>
          </a:p>
        </rich>
      </tx>
    </title>
    <plotArea>
      <scatterChart>
        <ser>
          <idx val="0"/>
          <order val="0"/>
          <tx>
            <v>Overall Score vs Acceleration 0-60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'Data'!$G$2:$G$16</f>
            </numRef>
          </xVal>
          <yVal>
            <numRef>
              <f>'Data'!$C$2:$C$16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Acceleration 0-60 (sec)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MPG vs Acceleration 0-60</a:t>
            </a:r>
          </a:p>
        </rich>
      </tx>
    </title>
    <plotArea>
      <scatterChart>
        <ser>
          <idx val="0"/>
          <order val="0"/>
          <tx>
            <v>Overall MPG vs Acceleration 0-60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'Data'!$G$2:$G$16</f>
            </numRef>
          </xVal>
          <yVal>
            <numRef>
              <f>'Data'!$F$2:$F$16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Acceleration 0-60 (sec)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MPG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 Satisfaction by Recommended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'4 Crosstab'!B5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'4 Crosstab'!$A$6:$A$7</f>
            </numRef>
          </cat>
          <val>
            <numRef>
              <f>'4 Crosstab'!$B$6:$B$7</f>
            </numRef>
          </val>
        </ser>
        <ser>
          <idx val="1"/>
          <order val="1"/>
          <tx>
            <strRef>
              <f>'4 Crosstab'!C5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'4 Crosstab'!$A$6:$A$7</f>
            </numRef>
          </cat>
          <val>
            <numRef>
              <f>'4 Crosstab'!$C$6:$C$7</f>
            </numRef>
          </val>
        </ser>
        <ser>
          <idx val="2"/>
          <order val="2"/>
          <tx>
            <strRef>
              <f>'4 Crosstab'!D5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'4 Crosstab'!$A$6:$A$7</f>
            </numRef>
          </cat>
          <val>
            <numRef>
              <f>'4 Crosstab'!$D$6:$D$7</f>
            </numRef>
          </val>
        </ser>
        <ser>
          <idx val="3"/>
          <order val="3"/>
          <tx>
            <strRef>
              <f>'4 Crosstab'!E5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'4 Crosstab'!$A$6:$A$7</f>
            </numRef>
          </cat>
          <val>
            <numRef>
              <f>'4 Crosstab'!$E$6:$E$7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10</row>
      <rowOff>0</rowOff>
    </from>
    <ext cx="39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39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36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4" customWidth="1" min="4" max="4"/>
    <col width="18" customWidth="1" min="5" max="5"/>
    <col width="16" customWidth="1" min="6" max="6"/>
    <col width="18" customWidth="1" min="7" max="7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Overall Score</t>
        </is>
      </c>
      <c r="D1" s="1" t="inlineStr">
        <is>
          <t>Recommended</t>
        </is>
      </c>
      <c r="E1" s="1" t="inlineStr">
        <is>
          <t>Owner Satisfaction</t>
        </is>
      </c>
      <c r="F1" s="1" t="inlineStr">
        <is>
          <t>Overall Miles Per Gallon</t>
        </is>
      </c>
      <c r="G1" s="1" t="inlineStr">
        <is>
          <t>Acceleration (0-60) Sec</t>
        </is>
      </c>
    </row>
    <row r="2">
      <c r="A2" s="2" t="inlineStr">
        <is>
          <t>Subaru</t>
        </is>
      </c>
      <c r="B2" s="2" t="inlineStr">
        <is>
          <t>Forester</t>
        </is>
      </c>
      <c r="C2" s="2" t="n">
        <v>84</v>
      </c>
      <c r="D2" s="2" t="inlineStr">
        <is>
          <t>Yes</t>
        </is>
      </c>
      <c r="E2" s="2" t="inlineStr">
        <is>
          <t>+</t>
        </is>
      </c>
      <c r="F2" s="2" t="n">
        <v>26</v>
      </c>
      <c r="G2" s="2" t="n">
        <v>8.699999999999999</v>
      </c>
    </row>
    <row r="3">
      <c r="A3" s="2" t="inlineStr">
        <is>
          <t>Honda</t>
        </is>
      </c>
      <c r="B3" s="2" t="inlineStr">
        <is>
          <t>CRV</t>
        </is>
      </c>
      <c r="C3" s="2" t="n">
        <v>83</v>
      </c>
      <c r="D3" s="2" t="inlineStr">
        <is>
          <t>Yes</t>
        </is>
      </c>
      <c r="E3" s="2" t="inlineStr">
        <is>
          <t>++</t>
        </is>
      </c>
      <c r="F3" s="2" t="n">
        <v>27</v>
      </c>
      <c r="G3" s="2" t="n">
        <v>8.6</v>
      </c>
    </row>
    <row r="4">
      <c r="A4" s="2" t="inlineStr">
        <is>
          <t>Toyota</t>
        </is>
      </c>
      <c r="B4" s="2" t="inlineStr">
        <is>
          <t>Rav4</t>
        </is>
      </c>
      <c r="C4" s="2" t="n">
        <v>81</v>
      </c>
      <c r="D4" s="2" t="inlineStr">
        <is>
          <t>Yes</t>
        </is>
      </c>
      <c r="E4" s="2" t="inlineStr">
        <is>
          <t>++</t>
        </is>
      </c>
      <c r="F4" s="2" t="n">
        <v>24</v>
      </c>
      <c r="G4" s="2" t="n">
        <v>9.300000000000001</v>
      </c>
    </row>
    <row r="5">
      <c r="A5" s="2" t="inlineStr">
        <is>
          <t>Nissan</t>
        </is>
      </c>
      <c r="B5" s="2" t="inlineStr">
        <is>
          <t>Rogue</t>
        </is>
      </c>
      <c r="C5" s="2" t="n">
        <v>73</v>
      </c>
      <c r="D5" s="2" t="inlineStr">
        <is>
          <t>Yes</t>
        </is>
      </c>
      <c r="E5" s="2" t="inlineStr">
        <is>
          <t>+</t>
        </is>
      </c>
      <c r="F5" s="2" t="n">
        <v>24</v>
      </c>
      <c r="G5" s="2" t="n">
        <v>9.5</v>
      </c>
    </row>
    <row r="6">
      <c r="A6" s="2" t="inlineStr">
        <is>
          <t>Mazda</t>
        </is>
      </c>
      <c r="B6" s="2" t="inlineStr">
        <is>
          <t>CX-5</t>
        </is>
      </c>
      <c r="C6" s="2" t="n">
        <v>71</v>
      </c>
      <c r="D6" s="2" t="inlineStr">
        <is>
          <t>Yes</t>
        </is>
      </c>
      <c r="E6" s="2" t="inlineStr">
        <is>
          <t>++</t>
        </is>
      </c>
      <c r="F6" s="2" t="n">
        <v>24</v>
      </c>
      <c r="G6" s="2" t="n">
        <v>8.6</v>
      </c>
    </row>
    <row r="7">
      <c r="A7" s="2" t="inlineStr">
        <is>
          <t>Kia</t>
        </is>
      </c>
      <c r="B7" s="2" t="inlineStr">
        <is>
          <t>Sportage</t>
        </is>
      </c>
      <c r="C7" s="2" t="n">
        <v>71</v>
      </c>
      <c r="D7" s="2" t="inlineStr">
        <is>
          <t>Yes</t>
        </is>
      </c>
      <c r="E7" s="2" t="inlineStr">
        <is>
          <t>+</t>
        </is>
      </c>
      <c r="F7" s="2" t="n">
        <v>23</v>
      </c>
      <c r="G7" s="2" t="n">
        <v>9.6</v>
      </c>
    </row>
    <row r="8">
      <c r="A8" s="2" t="inlineStr">
        <is>
          <t>Ford</t>
        </is>
      </c>
      <c r="B8" s="2" t="inlineStr">
        <is>
          <t>Escape</t>
        </is>
      </c>
      <c r="C8" s="2" t="n">
        <v>69</v>
      </c>
      <c r="D8" s="2" t="inlineStr">
        <is>
          <t>Yes</t>
        </is>
      </c>
      <c r="E8" s="2" t="n">
        <v>0</v>
      </c>
      <c r="F8" s="2" t="n">
        <v>23</v>
      </c>
      <c r="G8" s="2" t="n">
        <v>10.1</v>
      </c>
    </row>
    <row r="9">
      <c r="A9" s="2" t="inlineStr">
        <is>
          <t>Volkswagen</t>
        </is>
      </c>
      <c r="B9" s="2" t="inlineStr">
        <is>
          <t>Tiguan Limited</t>
        </is>
      </c>
      <c r="C9" s="2" t="n">
        <v>67</v>
      </c>
      <c r="D9" s="2" t="inlineStr">
        <is>
          <t>No</t>
        </is>
      </c>
      <c r="E9" s="2" t="n">
        <v>0</v>
      </c>
      <c r="F9" s="2" t="n">
        <v>21</v>
      </c>
      <c r="G9" s="2" t="n">
        <v>8.5</v>
      </c>
    </row>
    <row r="10">
      <c r="A10" s="2" t="inlineStr">
        <is>
          <t>Volkswagen</t>
        </is>
      </c>
      <c r="B10" s="2" t="inlineStr">
        <is>
          <t>Tiguan</t>
        </is>
      </c>
      <c r="C10" s="2" t="n">
        <v>65</v>
      </c>
      <c r="D10" s="2" t="inlineStr">
        <is>
          <t>No</t>
        </is>
      </c>
      <c r="E10" s="2" t="inlineStr">
        <is>
          <t>+</t>
        </is>
      </c>
      <c r="F10" s="2" t="n">
        <v>25</v>
      </c>
      <c r="G10" s="2" t="n">
        <v>10.3</v>
      </c>
    </row>
    <row r="11">
      <c r="A11" s="2" t="inlineStr">
        <is>
          <t>Mitsubishi</t>
        </is>
      </c>
      <c r="B11" s="2" t="inlineStr">
        <is>
          <t>Outlander</t>
        </is>
      </c>
      <c r="C11" s="2" t="n">
        <v>63</v>
      </c>
      <c r="D11" s="2" t="inlineStr">
        <is>
          <t>No</t>
        </is>
      </c>
      <c r="E11" s="2" t="n">
        <v>0</v>
      </c>
      <c r="F11" s="2" t="n">
        <v>24</v>
      </c>
      <c r="G11" s="2" t="n">
        <v>10</v>
      </c>
    </row>
    <row r="12">
      <c r="A12" s="2" t="inlineStr">
        <is>
          <t>Chevrolet</t>
        </is>
      </c>
      <c r="B12" s="2" t="inlineStr">
        <is>
          <t>Equinox</t>
        </is>
      </c>
      <c r="C12" s="2" t="n">
        <v>63</v>
      </c>
      <c r="D12" s="2" t="inlineStr">
        <is>
          <t>No</t>
        </is>
      </c>
      <c r="E12" s="2" t="n">
        <v>0</v>
      </c>
      <c r="F12" s="2" t="n">
        <v>31</v>
      </c>
      <c r="G12" s="2" t="n">
        <v>10.1</v>
      </c>
    </row>
    <row r="13">
      <c r="A13" s="2" t="inlineStr">
        <is>
          <t>Hyundai</t>
        </is>
      </c>
      <c r="B13" s="2" t="inlineStr">
        <is>
          <t>Tuscon</t>
        </is>
      </c>
      <c r="C13" s="2" t="n">
        <v>57</v>
      </c>
      <c r="D13" s="2" t="inlineStr">
        <is>
          <t>No</t>
        </is>
      </c>
      <c r="E13" s="2" t="n">
        <v>0</v>
      </c>
      <c r="F13" s="2" t="n">
        <v>26</v>
      </c>
      <c r="G13" s="2" t="n">
        <v>8.4</v>
      </c>
    </row>
    <row r="14">
      <c r="A14" s="2" t="inlineStr">
        <is>
          <t>GMC</t>
        </is>
      </c>
      <c r="B14" s="2" t="inlineStr">
        <is>
          <t>Terrain</t>
        </is>
      </c>
      <c r="C14" s="2" t="n">
        <v>57</v>
      </c>
      <c r="D14" s="2" t="inlineStr">
        <is>
          <t>No</t>
        </is>
      </c>
      <c r="E14" s="2" t="n">
        <v>0</v>
      </c>
      <c r="F14" s="2" t="n">
        <v>22</v>
      </c>
      <c r="G14" s="2" t="n">
        <v>7.2</v>
      </c>
    </row>
    <row r="15">
      <c r="A15" s="2" t="inlineStr">
        <is>
          <t xml:space="preserve">Jeep </t>
        </is>
      </c>
      <c r="B15" s="2" t="inlineStr">
        <is>
          <t>Cherokee</t>
        </is>
      </c>
      <c r="C15" s="2" t="n">
        <v>55</v>
      </c>
      <c r="D15" s="2" t="inlineStr">
        <is>
          <t>No</t>
        </is>
      </c>
      <c r="E15" s="2" t="inlineStr">
        <is>
          <t>-</t>
        </is>
      </c>
      <c r="F15" s="2" t="n">
        <v>22</v>
      </c>
      <c r="G15" s="2" t="n">
        <v>10.9</v>
      </c>
    </row>
    <row r="16">
      <c r="A16" s="2" t="inlineStr">
        <is>
          <t xml:space="preserve">Jeep </t>
        </is>
      </c>
      <c r="B16" s="2" t="inlineStr">
        <is>
          <t>Compass</t>
        </is>
      </c>
      <c r="C16" s="2" t="n">
        <v>50</v>
      </c>
      <c r="D16" s="2" t="inlineStr">
        <is>
          <t>No</t>
        </is>
      </c>
      <c r="E16" s="2" t="n">
        <v>0</v>
      </c>
      <c r="F16" s="2" t="n">
        <v>24</v>
      </c>
      <c r="G16" s="2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5" customWidth="1" min="4" max="4"/>
    <col width="13" customWidth="1" min="5" max="5"/>
    <col width="13" customWidth="1" min="6" max="6"/>
  </cols>
  <sheetData>
    <row r="1">
      <c r="A1" s="3" t="inlineStr">
        <is>
          <t>§2.1  Frequency distributions and bar charts</t>
        </is>
      </c>
    </row>
    <row r="2">
      <c r="A2" s="4" t="inlineStr">
        <is>
          <t>compactsuv.xlsx · every count is a live COUNTIF against the Data sheet. n = 15.</t>
        </is>
      </c>
    </row>
    <row r="4" ht="20" customHeight="1">
      <c r="A4" s="5" t="inlineStr">
        <is>
          <t>RECOMMENDED  —  a 2-category nominal variable</t>
        </is>
      </c>
      <c r="B4" s="6" t="n"/>
      <c r="C4" s="6" t="n"/>
      <c r="D4" s="6" t="n"/>
      <c r="E4" s="6" t="n"/>
      <c r="F4" s="6" t="n"/>
    </row>
    <row r="5">
      <c r="A5" s="1" t="inlineStr">
        <is>
          <t>Recommended</t>
        </is>
      </c>
      <c r="B5" s="1" t="inlineStr">
        <is>
          <t>Frequency</t>
        </is>
      </c>
      <c r="C5" s="1" t="inlineStr">
        <is>
          <t>Relative freq.</t>
        </is>
      </c>
      <c r="D5" s="1" t="inlineStr">
        <is>
          <t>Percent freq.</t>
        </is>
      </c>
    </row>
    <row r="6">
      <c r="A6" s="7" t="inlineStr">
        <is>
          <t>Yes</t>
        </is>
      </c>
      <c r="B6" s="2">
        <f>COUNTIF(Data!$D$2:$D$16,A6)</f>
        <v/>
      </c>
      <c r="C6" s="8">
        <f>B6/$B$8</f>
        <v/>
      </c>
      <c r="D6" s="9">
        <f>C6</f>
        <v/>
      </c>
    </row>
    <row r="7">
      <c r="A7" s="7" t="inlineStr">
        <is>
          <t>No</t>
        </is>
      </c>
      <c r="B7" s="2">
        <f>COUNTIF(Data!$D$2:$D$16,A7)</f>
        <v/>
      </c>
      <c r="C7" s="8">
        <f>B7/$B$8</f>
        <v/>
      </c>
      <c r="D7" s="9">
        <f>C7</f>
        <v/>
      </c>
    </row>
    <row r="8">
      <c r="A8" s="7" t="inlineStr">
        <is>
          <t>Total</t>
        </is>
      </c>
      <c r="B8" s="7">
        <f>SUM(B6:B7)</f>
        <v/>
      </c>
      <c r="C8" s="10">
        <f>SUM(C6:C7)</f>
        <v/>
      </c>
    </row>
    <row r="9">
      <c r="A9" s="4" t="inlineStr">
        <is>
          <t>Check: the total must read 15 and the relative frequencies must sum to 1.000. If not, a category is missing or misspelled.</t>
        </is>
      </c>
    </row>
    <row r="11" ht="20" customHeight="1">
      <c r="A11" s="5" t="inlineStr">
        <is>
          <t>OWNER SATISFACTION  —  a 4-level ordinal variable, in SCALE order</t>
        </is>
      </c>
      <c r="B11" s="6" t="n"/>
      <c r="C11" s="6" t="n"/>
      <c r="D11" s="6" t="n"/>
      <c r="E11" s="6" t="n"/>
      <c r="F11" s="6" t="n"/>
    </row>
    <row r="12">
      <c r="A12" s="1" t="inlineStr">
        <is>
          <t>Owner Satisfaction</t>
        </is>
      </c>
      <c r="B12" s="1" t="inlineStr">
        <is>
          <t>Frequency</t>
        </is>
      </c>
      <c r="C12" s="1" t="inlineStr">
        <is>
          <t>Relative freq.</t>
        </is>
      </c>
      <c r="D12" s="1" t="inlineStr">
        <is>
          <t>Percent freq.</t>
        </is>
      </c>
    </row>
    <row r="13">
      <c r="A13" s="7" t="inlineStr">
        <is>
          <t>++</t>
        </is>
      </c>
      <c r="B13" s="2">
        <f>COUNTIF(Data!$E$2:$E$16,A13)</f>
        <v/>
      </c>
      <c r="C13" s="8">
        <f>B13/$B$17</f>
        <v/>
      </c>
      <c r="D13" s="9">
        <f>C13</f>
        <v/>
      </c>
    </row>
    <row r="14">
      <c r="A14" s="7" t="inlineStr">
        <is>
          <t>+</t>
        </is>
      </c>
      <c r="B14" s="2">
        <f>COUNTIF(Data!$E$2:$E$16,A14)</f>
        <v/>
      </c>
      <c r="C14" s="8">
        <f>B14/$B$17</f>
        <v/>
      </c>
      <c r="D14" s="9">
        <f>C14</f>
        <v/>
      </c>
    </row>
    <row r="15">
      <c r="A15" s="11" t="n">
        <v>0</v>
      </c>
      <c r="B15" s="2">
        <f>COUNTIF(Data!$E$2:$E$16,A15)</f>
        <v/>
      </c>
      <c r="C15" s="8">
        <f>B15/$B$17</f>
        <v/>
      </c>
      <c r="D15" s="9">
        <f>C15</f>
        <v/>
      </c>
    </row>
    <row r="16">
      <c r="A16" s="7" t="inlineStr">
        <is>
          <t>-</t>
        </is>
      </c>
      <c r="B16" s="2">
        <f>COUNTIF(Data!$E$2:$E$16,A16)</f>
        <v/>
      </c>
      <c r="C16" s="8">
        <f>B16/$B$17</f>
        <v/>
      </c>
      <c r="D16" s="9">
        <f>C16</f>
        <v/>
      </c>
    </row>
    <row r="17">
      <c r="A17" s="7" t="inlineStr">
        <is>
          <t>Total</t>
        </is>
      </c>
      <c r="B17" s="7">
        <f>SUM(B13:B16)</f>
        <v/>
      </c>
      <c r="C17" s="4">
        <f>IF(B17=COUNTA(Data!E2:E16),"OK - all 15 accounted for","CHECK - a category is missing or miscounted")</f>
        <v/>
      </c>
    </row>
    <row r="18">
      <c r="A18" s="4" t="inlineStr">
        <is>
          <t>Rows are in the scale's own order (++ &gt; + &gt; 0 &gt; -), NOT sorted by count — the order carries meaning for an ordinal variable. Note A15 holds the NUMBER zero, which is why =AVERAGE(Data!E2:E16) returns a clean, wrong 0.</t>
        </is>
      </c>
    </row>
    <row r="19">
      <c r="A19" s="4" t="inlineStr">
        <is>
          <t>COUNT vs COUNTA on the same column is the only way to see it.</t>
        </is>
      </c>
    </row>
    <row r="20">
      <c r="A20" s="1" t="inlineStr">
        <is>
          <t>COUNT (numeric cells)</t>
        </is>
      </c>
      <c r="B20" s="1" t="inlineStr">
        <is>
          <t>COUNTA (filled cells)</t>
        </is>
      </c>
      <c r="C20" s="1" t="inlineStr">
        <is>
          <t>AVERAGE (the wrong answer)</t>
        </is>
      </c>
    </row>
    <row r="21">
      <c r="A21" s="12">
        <f>COUNT(Data!E2:E16)</f>
        <v/>
      </c>
      <c r="B21" s="12">
        <f>COUNTA(Data!E2:E16)</f>
        <v/>
      </c>
      <c r="C21" s="12">
        <f>AVERAGE(Data!E2:E16)</f>
        <v/>
      </c>
    </row>
    <row r="23">
      <c r="A23" s="4" t="inlineStr">
        <is>
          <t>Expect 7, 15, and 0. Seven numeric zeros were averaged and eight text cells were discarded without warning.</t>
        </is>
      </c>
    </row>
    <row r="25" ht="20" customHeight="1">
      <c r="A25" s="5" t="inlineStr">
        <is>
          <t>MAKE  —  the chart that DOES NOT WORK, and why</t>
        </is>
      </c>
      <c r="B25" s="6" t="n"/>
      <c r="C25" s="6" t="n"/>
      <c r="D25" s="6" t="n"/>
      <c r="E25" s="6" t="n"/>
      <c r="F25" s="6" t="n"/>
    </row>
    <row r="26">
      <c r="A26" s="1" t="inlineStr">
        <is>
          <t>Make</t>
        </is>
      </c>
      <c r="B26" s="1" t="inlineStr">
        <is>
          <t>Frequency</t>
        </is>
      </c>
    </row>
    <row r="27">
      <c r="A27" s="7" t="inlineStr">
        <is>
          <t>Chevrolet</t>
        </is>
      </c>
      <c r="B27" s="2">
        <f>COUNTIF(Data!$A$2:$A$16,A27&amp;"*")</f>
        <v/>
      </c>
    </row>
    <row r="28">
      <c r="A28" s="7" t="inlineStr">
        <is>
          <t>Ford</t>
        </is>
      </c>
      <c r="B28" s="2">
        <f>COUNTIF(Data!$A$2:$A$16,A28&amp;"*")</f>
        <v/>
      </c>
    </row>
    <row r="29">
      <c r="A29" s="7" t="inlineStr">
        <is>
          <t>GMC</t>
        </is>
      </c>
      <c r="B29" s="2">
        <f>COUNTIF(Data!$A$2:$A$16,A29&amp;"*")</f>
        <v/>
      </c>
    </row>
    <row r="30">
      <c r="A30" s="7" t="inlineStr">
        <is>
          <t>Honda</t>
        </is>
      </c>
      <c r="B30" s="2">
        <f>COUNTIF(Data!$A$2:$A$16,A30&amp;"*")</f>
        <v/>
      </c>
    </row>
    <row r="31">
      <c r="A31" s="7" t="inlineStr">
        <is>
          <t>Hyundai</t>
        </is>
      </c>
      <c r="B31" s="2">
        <f>COUNTIF(Data!$A$2:$A$16,A31&amp;"*")</f>
        <v/>
      </c>
    </row>
    <row r="32">
      <c r="A32" s="7" t="inlineStr">
        <is>
          <t>Jeep</t>
        </is>
      </c>
      <c r="B32" s="2">
        <f>COUNTIF(Data!$A$2:$A$16,A32&amp;"*")</f>
        <v/>
      </c>
    </row>
    <row r="33">
      <c r="A33" s="7" t="inlineStr">
        <is>
          <t>Kia</t>
        </is>
      </c>
      <c r="B33" s="2">
        <f>COUNTIF(Data!$A$2:$A$16,A33&amp;"*")</f>
        <v/>
      </c>
    </row>
    <row r="34">
      <c r="A34" s="7" t="inlineStr">
        <is>
          <t>Mazda</t>
        </is>
      </c>
      <c r="B34" s="2">
        <f>COUNTIF(Data!$A$2:$A$16,A34&amp;"*")</f>
        <v/>
      </c>
    </row>
    <row r="35">
      <c r="A35" s="7" t="inlineStr">
        <is>
          <t>Mitsubishi</t>
        </is>
      </c>
      <c r="B35" s="2">
        <f>COUNTIF(Data!$A$2:$A$16,A35&amp;"*")</f>
        <v/>
      </c>
    </row>
    <row r="36">
      <c r="A36" s="7" t="inlineStr">
        <is>
          <t>Nissan</t>
        </is>
      </c>
      <c r="B36" s="2">
        <f>COUNTIF(Data!$A$2:$A$16,A36&amp;"*")</f>
        <v/>
      </c>
    </row>
    <row r="37">
      <c r="A37" s="7" t="inlineStr">
        <is>
          <t>Subaru</t>
        </is>
      </c>
      <c r="B37" s="2">
        <f>COUNTIF(Data!$A$2:$A$16,A37&amp;"*")</f>
        <v/>
      </c>
    </row>
    <row r="38">
      <c r="A38" s="7" t="inlineStr">
        <is>
          <t>Toyota</t>
        </is>
      </c>
      <c r="B38" s="2">
        <f>COUNTIF(Data!$A$2:$A$16,A38&amp;"*")</f>
        <v/>
      </c>
    </row>
    <row r="39">
      <c r="A39" s="7" t="inlineStr">
        <is>
          <t>Volkswagen</t>
        </is>
      </c>
      <c r="B39" s="2">
        <f>COUNTIF(Data!$A$2:$A$16,A39&amp;"*")</f>
        <v/>
      </c>
    </row>
    <row r="40">
      <c r="A40" s="7" t="inlineStr">
        <is>
          <t>Total</t>
        </is>
      </c>
      <c r="B40" s="7">
        <f>SUM(B27:B39)</f>
        <v/>
      </c>
      <c r="C40" s="4">
        <f>IF(B40=COUNTA(Data!A2:A16),"OK - all 15 accounted for","CHECK - a make is missing or miscounted")</f>
        <v/>
      </c>
    </row>
    <row r="42">
      <c r="A42" s="4" t="inlineStr">
        <is>
          <t>13 distinct makes across 15 vehicles: eleven bars of height 1 and two of height 2. A bar chart needs categories that repeat — this one has no shape to read. Note the trailing space in "Jeep " in the source data, which is why these COUNTIFs use a wildcard.</t>
        </is>
      </c>
    </row>
  </sheetData>
  <mergeCells count="8">
    <mergeCell ref="A11:F11"/>
    <mergeCell ref="A42:F42"/>
    <mergeCell ref="A19:F19"/>
    <mergeCell ref="A23:F23"/>
    <mergeCell ref="A9:F9"/>
    <mergeCell ref="A18:F18"/>
    <mergeCell ref="A4:F4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4" customWidth="1" min="5" max="5"/>
    <col width="20" customWidth="1" min="6" max="6"/>
    <col width="12" customWidth="1" min="7" max="7"/>
  </cols>
  <sheetData>
    <row r="1">
      <c r="A1" s="3" t="inlineStr">
        <is>
          <t>§3.1–3.3  Numerical measures</t>
        </is>
      </c>
    </row>
    <row r="2">
      <c r="A2" s="4" t="inlineStr">
        <is>
          <t>Three quantitative variables. Course convention: the .S (sample) variants.</t>
        </is>
      </c>
    </row>
    <row r="4" ht="20" customHeight="1">
      <c r="A4" s="5" t="inlineStr">
        <is>
          <t>LOCATION, VARIABILITY, AND SHAPE</t>
        </is>
      </c>
      <c r="B4" s="6" t="n"/>
      <c r="C4" s="6" t="n"/>
      <c r="D4" s="6" t="n"/>
    </row>
    <row r="5">
      <c r="A5" s="1" t="inlineStr">
        <is>
          <t>Measure</t>
        </is>
      </c>
      <c r="B5" s="1" t="inlineStr">
        <is>
          <t>Overall Score</t>
        </is>
      </c>
      <c r="C5" s="1" t="inlineStr">
        <is>
          <t>Overall MPG</t>
        </is>
      </c>
      <c r="D5" s="1" t="inlineStr">
        <is>
          <t>Acceleration 0–60</t>
        </is>
      </c>
    </row>
    <row r="6">
      <c r="A6" s="7" t="inlineStr">
        <is>
          <t>n (numeric cells)</t>
        </is>
      </c>
      <c r="B6" s="13">
        <f>COUNT(Data!C2:C16)</f>
        <v/>
      </c>
      <c r="C6" s="13">
        <f>COUNT(Data!F2:F16)</f>
        <v/>
      </c>
      <c r="D6" s="13">
        <f>COUNT(Data!G2:G16)</f>
        <v/>
      </c>
    </row>
    <row r="7">
      <c r="A7" s="7" t="inlineStr">
        <is>
          <t>Minimum</t>
        </is>
      </c>
      <c r="B7" s="14">
        <f>MIN(Data!C2:C16)</f>
        <v/>
      </c>
      <c r="C7" s="14">
        <f>MIN(Data!F2:F16)</f>
        <v/>
      </c>
      <c r="D7" s="14">
        <f>MIN(Data!G2:G16)</f>
        <v/>
      </c>
    </row>
    <row r="8">
      <c r="A8" s="7" t="inlineStr">
        <is>
          <t>Maximum</t>
        </is>
      </c>
      <c r="B8" s="14">
        <f>MAX(Data!C2:C16)</f>
        <v/>
      </c>
      <c r="C8" s="14">
        <f>MAX(Data!F2:F16)</f>
        <v/>
      </c>
      <c r="D8" s="14">
        <f>MAX(Data!G2:G16)</f>
        <v/>
      </c>
    </row>
    <row r="9">
      <c r="A9" s="7" t="inlineStr">
        <is>
          <t>Range</t>
        </is>
      </c>
      <c r="B9" s="14">
        <f>MAX(Data!C2:C16)-MIN(Data!C2:C16)</f>
        <v/>
      </c>
      <c r="C9" s="14">
        <f>MAX(Data!F2:F16)-MIN(Data!F2:F16)</f>
        <v/>
      </c>
      <c r="D9" s="14">
        <f>MAX(Data!G2:G16)-MIN(Data!G2:G16)</f>
        <v/>
      </c>
    </row>
    <row r="10">
      <c r="A10" s="7" t="inlineStr">
        <is>
          <t>Mean</t>
        </is>
      </c>
      <c r="B10" s="14">
        <f>AVERAGE(Data!C2:C16)</f>
        <v/>
      </c>
      <c r="C10" s="14">
        <f>AVERAGE(Data!F2:F16)</f>
        <v/>
      </c>
      <c r="D10" s="14">
        <f>AVERAGE(Data!G2:G16)</f>
        <v/>
      </c>
    </row>
    <row r="11">
      <c r="A11" s="7" t="inlineStr">
        <is>
          <t>Median</t>
        </is>
      </c>
      <c r="B11" s="14">
        <f>MEDIAN(Data!C2:C16)</f>
        <v/>
      </c>
      <c r="C11" s="14">
        <f>MEDIAN(Data!F2:F16)</f>
        <v/>
      </c>
      <c r="D11" s="14">
        <f>MEDIAN(Data!G2:G16)</f>
        <v/>
      </c>
    </row>
    <row r="12">
      <c r="A12" s="7" t="inlineStr">
        <is>
          <t>Mode</t>
        </is>
      </c>
      <c r="B12" s="14">
        <f>IFERROR(MODE.SNGL(Data!C2:C16),"no mode")</f>
        <v/>
      </c>
      <c r="C12" s="14">
        <f>IFERROR(MODE.SNGL(Data!F2:F16),"no mode")</f>
        <v/>
      </c>
      <c r="D12" s="14">
        <f>IFERROR(MODE.SNGL(Data!G2:G16),"no mode")</f>
        <v/>
      </c>
    </row>
    <row r="13">
      <c r="A13" s="7" t="inlineStr">
        <is>
          <t>Distinct values</t>
        </is>
      </c>
      <c r="B13" s="13">
        <f>SUMPRODUCT((Data!C2:C16&lt;&gt;"")/COUNTIF(Data!C2:C16,Data!C2:C16&amp;""))</f>
        <v/>
      </c>
      <c r="C13" s="13">
        <f>SUMPRODUCT((Data!F2:F16&lt;&gt;"")/COUNTIF(Data!F2:F16,Data!F2:F16&amp;""))</f>
        <v/>
      </c>
      <c r="D13" s="13">
        <f>SUMPRODUCT((Data!G2:G16&lt;&gt;"")/COUNTIF(Data!G2:G16,Data!G2:G16&amp;""))</f>
        <v/>
      </c>
    </row>
    <row r="14">
      <c r="A14" s="7" t="inlineStr">
        <is>
          <t>Q1</t>
        </is>
      </c>
      <c r="B14" s="14">
        <f>QUARTILE.INC(Data!C2:C16,1)</f>
        <v/>
      </c>
      <c r="C14" s="14">
        <f>QUARTILE.INC(Data!F2:F16,1)</f>
        <v/>
      </c>
      <c r="D14" s="14">
        <f>QUARTILE.INC(Data!G2:G16,1)</f>
        <v/>
      </c>
    </row>
    <row r="15">
      <c r="A15" s="7" t="inlineStr">
        <is>
          <t>Q3</t>
        </is>
      </c>
      <c r="B15" s="14">
        <f>QUARTILE.INC(Data!C2:C16,3)</f>
        <v/>
      </c>
      <c r="C15" s="14">
        <f>QUARTILE.INC(Data!F2:F16,3)</f>
        <v/>
      </c>
      <c r="D15" s="14">
        <f>QUARTILE.INC(Data!G2:G16,3)</f>
        <v/>
      </c>
    </row>
    <row r="16">
      <c r="A16" s="7" t="inlineStr">
        <is>
          <t>IQR</t>
        </is>
      </c>
      <c r="B16" s="14">
        <f>QUARTILE.INC(Data!C2:C16,3)-QUARTILE.INC(Data!C2:C16,1)</f>
        <v/>
      </c>
      <c r="C16" s="14">
        <f>QUARTILE.INC(Data!F2:F16,3)-QUARTILE.INC(Data!F2:F16,1)</f>
        <v/>
      </c>
      <c r="D16" s="14">
        <f>QUARTILE.INC(Data!G2:G16,3)-QUARTILE.INC(Data!G2:G16,1)</f>
        <v/>
      </c>
    </row>
    <row r="17">
      <c r="A17" s="7" t="inlineStr">
        <is>
          <t>Variance (sample)</t>
        </is>
      </c>
      <c r="B17" s="14">
        <f>VAR.S(Data!C2:C16)</f>
        <v/>
      </c>
      <c r="C17" s="14">
        <f>VAR.S(Data!F2:F16)</f>
        <v/>
      </c>
      <c r="D17" s="14">
        <f>VAR.S(Data!G2:G16)</f>
        <v/>
      </c>
    </row>
    <row r="18">
      <c r="A18" s="7" t="inlineStr">
        <is>
          <t>Std deviation (sample)</t>
        </is>
      </c>
      <c r="B18" s="14">
        <f>STDEV.S(Data!C2:C16)</f>
        <v/>
      </c>
      <c r="C18" s="14">
        <f>STDEV.S(Data!F2:F16)</f>
        <v/>
      </c>
      <c r="D18" s="14">
        <f>STDEV.S(Data!G2:G16)</f>
        <v/>
      </c>
    </row>
    <row r="19">
      <c r="A19" s="7" t="inlineStr">
        <is>
          <t>Coefficient of variation</t>
        </is>
      </c>
      <c r="B19" s="9">
        <f>STDEV.S(Data!C2:C16)/AVERAGE(Data!C2:C16)</f>
        <v/>
      </c>
      <c r="C19" s="9">
        <f>STDEV.S(Data!F2:F16)/AVERAGE(Data!F2:F16)</f>
        <v/>
      </c>
      <c r="D19" s="9">
        <f>STDEV.S(Data!G2:G16)/AVERAGE(Data!G2:G16)</f>
        <v/>
      </c>
    </row>
    <row r="21">
      <c r="A21" s="4" t="inlineStr">
        <is>
          <t>Mean ≈ median on Overall Score, so its distribution is essentially symmetric — contrast nations.xlsx per-capita GDP, which is strongly right-skewed.</t>
        </is>
      </c>
    </row>
    <row r="22">
      <c r="A22" s="4" t="inlineStr">
        <is>
          <t>The mode is only meaningful for MPG. Overall Score is trimodal and Acceleration has 13 distinct values in 15 rows, so MODE.SNGL returns the first of several ties — compare the 'Distinct values' row before trusting a mode.</t>
        </is>
      </c>
    </row>
    <row r="23">
      <c r="A23" s="4" t="inlineStr">
        <is>
          <t>The CV is the only row you may compare ACROSS the three columns; the standard deviations are in different units.</t>
        </is>
      </c>
    </row>
    <row r="25" ht="20" customHeight="1">
      <c r="A25" s="5" t="inlineStr">
        <is>
          <t>OUTLIER DETECTION  —  z-scores and the 1.5 × IQR rule on Overall MPG</t>
        </is>
      </c>
      <c r="B25" s="6" t="n"/>
      <c r="C25" s="6" t="n"/>
      <c r="D25" s="6" t="n"/>
    </row>
    <row r="26">
      <c r="A26" s="1" t="inlineStr">
        <is>
          <t>Model</t>
        </is>
      </c>
      <c r="B26" s="1" t="inlineStr">
        <is>
          <t>Overall MPG</t>
        </is>
      </c>
      <c r="C26" s="1" t="inlineStr">
        <is>
          <t>z-score</t>
        </is>
      </c>
      <c r="D26" s="1" t="inlineStr">
        <is>
          <t>Beyond 1.5×IQR?</t>
        </is>
      </c>
    </row>
    <row r="27">
      <c r="A27" s="2">
        <f>Data!B2</f>
        <v/>
      </c>
      <c r="B27" s="2">
        <f>Data!F2</f>
        <v/>
      </c>
      <c r="C27" s="14">
        <f>(B27-AVERAGE(Data!$F$2:$F$16))/STDEV.S(Data!$F$2:$F$16)</f>
        <v/>
      </c>
      <c r="D27" s="2">
        <f>IF(OR(B27&lt;QUARTILE.INC(Data!$F$2:$F$16,1)-1.5*(QUARTILE.INC(Data!$F$2:$F$16,3)-QUARTILE.INC(Data!$F$2:$F$16,1)),B27&gt;QUARTILE.INC(Data!$F$2:$F$16,3)+1.5*(QUARTILE.INC(Data!$F$2:$F$16,3)-QUARTILE.INC(Data!$F$2:$F$16,1))),"OUTLIER","")</f>
        <v/>
      </c>
    </row>
    <row r="28">
      <c r="A28" s="2">
        <f>Data!B3</f>
        <v/>
      </c>
      <c r="B28" s="2">
        <f>Data!F3</f>
        <v/>
      </c>
      <c r="C28" s="14">
        <f>(B28-AVERAGE(Data!$F$2:$F$16))/STDEV.S(Data!$F$2:$F$16)</f>
        <v/>
      </c>
      <c r="D28" s="2">
        <f>IF(OR(B28&lt;QUARTILE.INC(Data!$F$2:$F$16,1)-1.5*(QUARTILE.INC(Data!$F$2:$F$16,3)-QUARTILE.INC(Data!$F$2:$F$16,1)),B28&gt;QUARTILE.INC(Data!$F$2:$F$16,3)+1.5*(QUARTILE.INC(Data!$F$2:$F$16,3)-QUARTILE.INC(Data!$F$2:$F$16,1))),"OUTLIER","")</f>
        <v/>
      </c>
    </row>
    <row r="29">
      <c r="A29" s="2">
        <f>Data!B4</f>
        <v/>
      </c>
      <c r="B29" s="2">
        <f>Data!F4</f>
        <v/>
      </c>
      <c r="C29" s="14">
        <f>(B29-AVERAGE(Data!$F$2:$F$16))/STDEV.S(Data!$F$2:$F$16)</f>
        <v/>
      </c>
      <c r="D29" s="2">
        <f>IF(OR(B29&lt;QUARTILE.INC(Data!$F$2:$F$16,1)-1.5*(QUARTILE.INC(Data!$F$2:$F$16,3)-QUARTILE.INC(Data!$F$2:$F$16,1)),B29&gt;QUARTILE.INC(Data!$F$2:$F$16,3)+1.5*(QUARTILE.INC(Data!$F$2:$F$16,3)-QUARTILE.INC(Data!$F$2:$F$16,1))),"OUTLIER","")</f>
        <v/>
      </c>
    </row>
    <row r="30">
      <c r="A30" s="2">
        <f>Data!B5</f>
        <v/>
      </c>
      <c r="B30" s="2">
        <f>Data!F5</f>
        <v/>
      </c>
      <c r="C30" s="14">
        <f>(B30-AVERAGE(Data!$F$2:$F$16))/STDEV.S(Data!$F$2:$F$16)</f>
        <v/>
      </c>
      <c r="D30" s="2">
        <f>IF(OR(B30&lt;QUARTILE.INC(Data!$F$2:$F$16,1)-1.5*(QUARTILE.INC(Data!$F$2:$F$16,3)-QUARTILE.INC(Data!$F$2:$F$16,1)),B30&gt;QUARTILE.INC(Data!$F$2:$F$16,3)+1.5*(QUARTILE.INC(Data!$F$2:$F$16,3)-QUARTILE.INC(Data!$F$2:$F$16,1))),"OUTLIER","")</f>
        <v/>
      </c>
    </row>
    <row r="31">
      <c r="A31" s="2">
        <f>Data!B6</f>
        <v/>
      </c>
      <c r="B31" s="2">
        <f>Data!F6</f>
        <v/>
      </c>
      <c r="C31" s="14">
        <f>(B31-AVERAGE(Data!$F$2:$F$16))/STDEV.S(Data!$F$2:$F$16)</f>
        <v/>
      </c>
      <c r="D31" s="2">
        <f>IF(OR(B31&lt;QUARTILE.INC(Data!$F$2:$F$16,1)-1.5*(QUARTILE.INC(Data!$F$2:$F$16,3)-QUARTILE.INC(Data!$F$2:$F$16,1)),B31&gt;QUARTILE.INC(Data!$F$2:$F$16,3)+1.5*(QUARTILE.INC(Data!$F$2:$F$16,3)-QUARTILE.INC(Data!$F$2:$F$16,1))),"OUTLIER","")</f>
        <v/>
      </c>
    </row>
    <row r="32">
      <c r="A32" s="2">
        <f>Data!B7</f>
        <v/>
      </c>
      <c r="B32" s="2">
        <f>Data!F7</f>
        <v/>
      </c>
      <c r="C32" s="14">
        <f>(B32-AVERAGE(Data!$F$2:$F$16))/STDEV.S(Data!$F$2:$F$16)</f>
        <v/>
      </c>
      <c r="D32" s="2">
        <f>IF(OR(B32&lt;QUARTILE.INC(Data!$F$2:$F$16,1)-1.5*(QUARTILE.INC(Data!$F$2:$F$16,3)-QUARTILE.INC(Data!$F$2:$F$16,1)),B32&gt;QUARTILE.INC(Data!$F$2:$F$16,3)+1.5*(QUARTILE.INC(Data!$F$2:$F$16,3)-QUARTILE.INC(Data!$F$2:$F$16,1))),"OUTLIER","")</f>
        <v/>
      </c>
    </row>
    <row r="33">
      <c r="A33" s="2">
        <f>Data!B8</f>
        <v/>
      </c>
      <c r="B33" s="2">
        <f>Data!F8</f>
        <v/>
      </c>
      <c r="C33" s="14">
        <f>(B33-AVERAGE(Data!$F$2:$F$16))/STDEV.S(Data!$F$2:$F$16)</f>
        <v/>
      </c>
      <c r="D33" s="2">
        <f>IF(OR(B33&lt;QUARTILE.INC(Data!$F$2:$F$16,1)-1.5*(QUARTILE.INC(Data!$F$2:$F$16,3)-QUARTILE.INC(Data!$F$2:$F$16,1)),B33&gt;QUARTILE.INC(Data!$F$2:$F$16,3)+1.5*(QUARTILE.INC(Data!$F$2:$F$16,3)-QUARTILE.INC(Data!$F$2:$F$16,1))),"OUTLIER","")</f>
        <v/>
      </c>
    </row>
    <row r="34">
      <c r="A34" s="2">
        <f>Data!B9</f>
        <v/>
      </c>
      <c r="B34" s="2">
        <f>Data!F9</f>
        <v/>
      </c>
      <c r="C34" s="14">
        <f>(B34-AVERAGE(Data!$F$2:$F$16))/STDEV.S(Data!$F$2:$F$16)</f>
        <v/>
      </c>
      <c r="D34" s="2">
        <f>IF(OR(B34&lt;QUARTILE.INC(Data!$F$2:$F$16,1)-1.5*(QUARTILE.INC(Data!$F$2:$F$16,3)-QUARTILE.INC(Data!$F$2:$F$16,1)),B34&gt;QUARTILE.INC(Data!$F$2:$F$16,3)+1.5*(QUARTILE.INC(Data!$F$2:$F$16,3)-QUARTILE.INC(Data!$F$2:$F$16,1))),"OUTLIER","")</f>
        <v/>
      </c>
    </row>
    <row r="35">
      <c r="A35" s="2">
        <f>Data!B10</f>
        <v/>
      </c>
      <c r="B35" s="2">
        <f>Data!F10</f>
        <v/>
      </c>
      <c r="C35" s="14">
        <f>(B35-AVERAGE(Data!$F$2:$F$16))/STDEV.S(Data!$F$2:$F$16)</f>
        <v/>
      </c>
      <c r="D35" s="2">
        <f>IF(OR(B35&lt;QUARTILE.INC(Data!$F$2:$F$16,1)-1.5*(QUARTILE.INC(Data!$F$2:$F$16,3)-QUARTILE.INC(Data!$F$2:$F$16,1)),B35&gt;QUARTILE.INC(Data!$F$2:$F$16,3)+1.5*(QUARTILE.INC(Data!$F$2:$F$16,3)-QUARTILE.INC(Data!$F$2:$F$16,1))),"OUTLIER","")</f>
        <v/>
      </c>
    </row>
    <row r="36">
      <c r="A36" s="2">
        <f>Data!B11</f>
        <v/>
      </c>
      <c r="B36" s="2">
        <f>Data!F11</f>
        <v/>
      </c>
      <c r="C36" s="14">
        <f>(B36-AVERAGE(Data!$F$2:$F$16))/STDEV.S(Data!$F$2:$F$16)</f>
        <v/>
      </c>
      <c r="D36" s="2">
        <f>IF(OR(B36&lt;QUARTILE.INC(Data!$F$2:$F$16,1)-1.5*(QUARTILE.INC(Data!$F$2:$F$16,3)-QUARTILE.INC(Data!$F$2:$F$16,1)),B36&gt;QUARTILE.INC(Data!$F$2:$F$16,3)+1.5*(QUARTILE.INC(Data!$F$2:$F$16,3)-QUARTILE.INC(Data!$F$2:$F$16,1))),"OUTLIER","")</f>
        <v/>
      </c>
    </row>
    <row r="37">
      <c r="A37" s="2">
        <f>Data!B12</f>
        <v/>
      </c>
      <c r="B37" s="2">
        <f>Data!F12</f>
        <v/>
      </c>
      <c r="C37" s="14">
        <f>(B37-AVERAGE(Data!$F$2:$F$16))/STDEV.S(Data!$F$2:$F$16)</f>
        <v/>
      </c>
      <c r="D37" s="2">
        <f>IF(OR(B37&lt;QUARTILE.INC(Data!$F$2:$F$16,1)-1.5*(QUARTILE.INC(Data!$F$2:$F$16,3)-QUARTILE.INC(Data!$F$2:$F$16,1)),B37&gt;QUARTILE.INC(Data!$F$2:$F$16,3)+1.5*(QUARTILE.INC(Data!$F$2:$F$16,3)-QUARTILE.INC(Data!$F$2:$F$16,1))),"OUTLIER","")</f>
        <v/>
      </c>
    </row>
    <row r="38">
      <c r="A38" s="2">
        <f>Data!B13</f>
        <v/>
      </c>
      <c r="B38" s="2">
        <f>Data!F13</f>
        <v/>
      </c>
      <c r="C38" s="14">
        <f>(B38-AVERAGE(Data!$F$2:$F$16))/STDEV.S(Data!$F$2:$F$16)</f>
        <v/>
      </c>
      <c r="D38" s="2">
        <f>IF(OR(B38&lt;QUARTILE.INC(Data!$F$2:$F$16,1)-1.5*(QUARTILE.INC(Data!$F$2:$F$16,3)-QUARTILE.INC(Data!$F$2:$F$16,1)),B38&gt;QUARTILE.INC(Data!$F$2:$F$16,3)+1.5*(QUARTILE.INC(Data!$F$2:$F$16,3)-QUARTILE.INC(Data!$F$2:$F$16,1))),"OUTLIER","")</f>
        <v/>
      </c>
    </row>
    <row r="39">
      <c r="A39" s="2">
        <f>Data!B14</f>
        <v/>
      </c>
      <c r="B39" s="2">
        <f>Data!F14</f>
        <v/>
      </c>
      <c r="C39" s="14">
        <f>(B39-AVERAGE(Data!$F$2:$F$16))/STDEV.S(Data!$F$2:$F$16)</f>
        <v/>
      </c>
      <c r="D39" s="2">
        <f>IF(OR(B39&lt;QUARTILE.INC(Data!$F$2:$F$16,1)-1.5*(QUARTILE.INC(Data!$F$2:$F$16,3)-QUARTILE.INC(Data!$F$2:$F$16,1)),B39&gt;QUARTILE.INC(Data!$F$2:$F$16,3)+1.5*(QUARTILE.INC(Data!$F$2:$F$16,3)-QUARTILE.INC(Data!$F$2:$F$16,1))),"OUTLIER","")</f>
        <v/>
      </c>
    </row>
    <row r="40">
      <c r="A40" s="2">
        <f>Data!B15</f>
        <v/>
      </c>
      <c r="B40" s="2">
        <f>Data!F15</f>
        <v/>
      </c>
      <c r="C40" s="14">
        <f>(B40-AVERAGE(Data!$F$2:$F$16))/STDEV.S(Data!$F$2:$F$16)</f>
        <v/>
      </c>
      <c r="D40" s="2">
        <f>IF(OR(B40&lt;QUARTILE.INC(Data!$F$2:$F$16,1)-1.5*(QUARTILE.INC(Data!$F$2:$F$16,3)-QUARTILE.INC(Data!$F$2:$F$16,1)),B40&gt;QUARTILE.INC(Data!$F$2:$F$16,3)+1.5*(QUARTILE.INC(Data!$F$2:$F$16,3)-QUARTILE.INC(Data!$F$2:$F$16,1))),"OUTLIER","")</f>
        <v/>
      </c>
    </row>
    <row r="41">
      <c r="A41" s="2">
        <f>Data!B16</f>
        <v/>
      </c>
      <c r="B41" s="2">
        <f>Data!F16</f>
        <v/>
      </c>
      <c r="C41" s="14">
        <f>(B41-AVERAGE(Data!$F$2:$F$16))/STDEV.S(Data!$F$2:$F$16)</f>
        <v/>
      </c>
      <c r="D41" s="2">
        <f>IF(OR(B41&lt;QUARTILE.INC(Data!$F$2:$F$16,1)-1.5*(QUARTILE.INC(Data!$F$2:$F$16,3)-QUARTILE.INC(Data!$F$2:$F$16,1)),B41&gt;QUARTILE.INC(Data!$F$2:$F$16,3)+1.5*(QUARTILE.INC(Data!$F$2:$F$16,3)-QUARTILE.INC(Data!$F$2:$F$16,1))),"OUTLIER","")</f>
        <v/>
      </c>
    </row>
    <row r="43">
      <c r="A43" s="4" t="inlineStr">
        <is>
          <t>Exactly one row flags: the Chevrolet Equinox at 31 mpg, z ≈ +2.70 — the best fuel economy on the list, and it is NOT recommended. Excel has no boxplot in older versions; in Microsoft 365 use Insert › Charts › Box and Whisker.</t>
        </is>
      </c>
    </row>
  </sheetData>
  <mergeCells count="6">
    <mergeCell ref="A23:D23"/>
    <mergeCell ref="A22:D22"/>
    <mergeCell ref="A4:D4"/>
    <mergeCell ref="A21:D21"/>
    <mergeCell ref="A25:D25"/>
    <mergeCell ref="A43:D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§2.5 and §3.4–3.5  Scatter diagrams, covariance, and correlation</t>
        </is>
      </c>
    </row>
    <row r="2">
      <c r="A2" s="4" t="inlineStr">
        <is>
          <t>The headline finding: Overall Score is uncorrelated with both measured variables.</t>
        </is>
      </c>
    </row>
    <row r="4" ht="20" customHeight="1">
      <c r="A4" s="5" t="inlineStr">
        <is>
          <t>CORRELATION MATRIX  —  r</t>
        </is>
      </c>
      <c r="B4" s="6" t="n"/>
      <c r="C4" s="6" t="n"/>
      <c r="D4" s="6" t="n"/>
    </row>
    <row r="5">
      <c r="A5" s="1" t="inlineStr"/>
      <c r="B5" s="1" t="inlineStr">
        <is>
          <t>Overall Score</t>
        </is>
      </c>
      <c r="C5" s="1" t="inlineStr">
        <is>
          <t>Overall MPG</t>
        </is>
      </c>
      <c r="D5" s="1" t="inlineStr">
        <is>
          <t>Acceleration 0–60</t>
        </is>
      </c>
    </row>
    <row r="6">
      <c r="A6" s="7" t="inlineStr">
        <is>
          <t>Overall Score</t>
        </is>
      </c>
      <c r="B6" s="15">
        <f>CORREL(Data!C2:C16,Data!C2:C16)</f>
        <v/>
      </c>
      <c r="C6" s="15">
        <f>CORREL(Data!C2:C16,Data!F2:F16)</f>
        <v/>
      </c>
      <c r="D6" s="15">
        <f>CORREL(Data!C2:C16,Data!G2:G16)</f>
        <v/>
      </c>
    </row>
    <row r="7">
      <c r="A7" s="7" t="inlineStr">
        <is>
          <t>Overall MPG</t>
        </is>
      </c>
      <c r="B7" s="15">
        <f>CORREL(Data!F2:F16,Data!C2:C16)</f>
        <v/>
      </c>
      <c r="C7" s="15">
        <f>CORREL(Data!F2:F16,Data!F2:F16)</f>
        <v/>
      </c>
      <c r="D7" s="15">
        <f>CORREL(Data!F2:F16,Data!G2:G16)</f>
        <v/>
      </c>
    </row>
    <row r="8">
      <c r="A8" s="7" t="inlineStr">
        <is>
          <t>Acceleration 0–60</t>
        </is>
      </c>
      <c r="B8" s="15">
        <f>CORREL(Data!G2:G16,Data!C2:C16)</f>
        <v/>
      </c>
      <c r="C8" s="15">
        <f>CORREL(Data!G2:G16,Data!F2:F16)</f>
        <v/>
      </c>
      <c r="D8" s="15">
        <f>CORREL(Data!G2:G16,Data!G2:G16)</f>
        <v/>
      </c>
    </row>
    <row r="10">
      <c r="A10" s="1" t="inlineStr">
        <is>
          <t>Pair</t>
        </is>
      </c>
      <c r="B10" s="1" t="inlineStr">
        <is>
          <t>r</t>
        </is>
      </c>
      <c r="C10" s="1" t="inlineStr">
        <is>
          <t>r² (coeff. of determination)</t>
        </is>
      </c>
      <c r="D10" s="1" t="inlineStr">
        <is>
          <t>Covariance (sample)</t>
        </is>
      </c>
    </row>
    <row r="11">
      <c r="A11" s="7" t="inlineStr">
        <is>
          <t>Score ~ MPG</t>
        </is>
      </c>
      <c r="B11" s="15">
        <f>CORREL(Data!C2:C16,Data!F2:F16)</f>
        <v/>
      </c>
      <c r="C11" s="8">
        <f>B11^2</f>
        <v/>
      </c>
      <c r="D11" s="14">
        <f>COVARIANCE.S(Data!C2:C16,Data!F2:F16)</f>
        <v/>
      </c>
    </row>
    <row r="12">
      <c r="A12" s="7" t="inlineStr">
        <is>
          <t>Score ~ Acceleration</t>
        </is>
      </c>
      <c r="B12" s="15">
        <f>CORREL(Data!C2:C16,Data!G2:G16)</f>
        <v/>
      </c>
      <c r="C12" s="8">
        <f>B12^2</f>
        <v/>
      </c>
      <c r="D12" s="14">
        <f>COVARIANCE.S(Data!C2:C16,Data!G2:G16)</f>
        <v/>
      </c>
    </row>
    <row r="13">
      <c r="A13" s="7" t="inlineStr">
        <is>
          <t>MPG ~ Acceleration</t>
        </is>
      </c>
      <c r="B13" s="15">
        <f>CORREL(Data!F2:F16,Data!G2:G16)</f>
        <v/>
      </c>
      <c r="C13" s="8">
        <f>B13^2</f>
        <v/>
      </c>
      <c r="D13" s="14">
        <f>COVARIANCE.S(Data!F2:F16,Data!G2:G16)</f>
        <v/>
      </c>
    </row>
    <row r="15">
      <c r="A15" s="4" t="inlineStr">
        <is>
          <t>All three |r| are below 0.20 and every r² is under 0.04. Consumer Reports built Overall Score as a weighted composite, yet it tracks neither measured variable in this file — so whatever drives that score is NOT in this table.</t>
        </is>
      </c>
    </row>
    <row r="16">
      <c r="A16" s="4" t="inlineStr">
        <is>
          <t>r ≈ 0 means no LINEAR relationship in THESE variables. It does not mean no relationship exists. Read the scatter plots, do not just read r.</t>
        </is>
      </c>
    </row>
  </sheetData>
  <mergeCells count="3">
    <mergeCell ref="A15:D15"/>
    <mergeCell ref="A4:D4"/>
    <mergeCell ref="A16:D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3" t="inlineStr">
        <is>
          <t>§2.3  Crosstabulation — Recommended × Owner Satisfaction</t>
        </is>
      </c>
    </row>
    <row r="2">
      <c r="A2" s="4" t="inlineStr">
        <is>
          <t>Two categorical variables at once. Counts are live COUNTIFS against the Data sheet.</t>
        </is>
      </c>
    </row>
    <row r="4" ht="20" customHeight="1">
      <c r="A4" s="5" t="inlineStr">
        <is>
          <t>FREQUENCIES</t>
        </is>
      </c>
      <c r="B4" s="6" t="n"/>
      <c r="C4" s="6" t="n"/>
      <c r="D4" s="6" t="n"/>
      <c r="E4" s="6" t="n"/>
      <c r="F4" s="6" t="n"/>
    </row>
    <row r="5">
      <c r="A5" s="1" t="inlineStr">
        <is>
          <t>Recommended</t>
        </is>
      </c>
      <c r="B5" s="1" t="inlineStr">
        <is>
          <t>++</t>
        </is>
      </c>
      <c r="C5" s="1" t="inlineStr">
        <is>
          <t>+</t>
        </is>
      </c>
      <c r="D5" s="1" t="inlineStr">
        <is>
          <t>0</t>
        </is>
      </c>
      <c r="E5" s="1" t="inlineStr">
        <is>
          <t>-</t>
        </is>
      </c>
      <c r="F5" s="1" t="inlineStr">
        <is>
          <t>Total</t>
        </is>
      </c>
    </row>
    <row r="6">
      <c r="A6" s="7" t="inlineStr">
        <is>
          <t>Yes</t>
        </is>
      </c>
      <c r="B6" s="2">
        <f>COUNTIFS(Data!$D$2:$D$16,$A6,Data!$E$2:$E$16,"++")</f>
        <v/>
      </c>
      <c r="C6" s="2">
        <f>COUNTIFS(Data!$D$2:$D$16,$A6,Data!$E$2:$E$16,"+")</f>
        <v/>
      </c>
      <c r="D6" s="2">
        <f>COUNTIFS(Data!$D$2:$D$16,$A6,Data!$E$2:$E$16,0)</f>
        <v/>
      </c>
      <c r="E6" s="2">
        <f>COUNTIFS(Data!$D$2:$D$16,$A6,Data!$E$2:$E$16,"-")</f>
        <v/>
      </c>
      <c r="F6" s="7">
        <f>SUM(B6:E6)</f>
        <v/>
      </c>
    </row>
    <row r="7">
      <c r="A7" s="7" t="inlineStr">
        <is>
          <t>No</t>
        </is>
      </c>
      <c r="B7" s="2">
        <f>COUNTIFS(Data!$D$2:$D$16,$A7,Data!$E$2:$E$16,"++")</f>
        <v/>
      </c>
      <c r="C7" s="2">
        <f>COUNTIFS(Data!$D$2:$D$16,$A7,Data!$E$2:$E$16,"+")</f>
        <v/>
      </c>
      <c r="D7" s="2">
        <f>COUNTIFS(Data!$D$2:$D$16,$A7,Data!$E$2:$E$16,0)</f>
        <v/>
      </c>
      <c r="E7" s="2">
        <f>COUNTIFS(Data!$D$2:$D$16,$A7,Data!$E$2:$E$16,"-")</f>
        <v/>
      </c>
      <c r="F7" s="7">
        <f>SUM(B7:E7)</f>
        <v/>
      </c>
    </row>
    <row r="8">
      <c r="A8" s="7" t="inlineStr">
        <is>
          <t>Total</t>
        </is>
      </c>
      <c r="B8" s="7">
        <f>SUM(B6:B7)</f>
        <v/>
      </c>
      <c r="C8" s="7">
        <f>SUM(C6:C7)</f>
        <v/>
      </c>
      <c r="D8" s="7">
        <f>SUM(D6:D7)</f>
        <v/>
      </c>
      <c r="E8" s="7">
        <f>SUM(E6:E7)</f>
        <v/>
      </c>
      <c r="F8" s="7">
        <f>SUM(F6:F7)</f>
        <v/>
      </c>
    </row>
    <row r="9">
      <c r="A9" s="4" t="inlineStr">
        <is>
          <t>The grand total in F8 must read 15.</t>
        </is>
      </c>
    </row>
    <row r="11" ht="20" customHeight="1">
      <c r="A11" s="5" t="inlineStr">
        <is>
          <t>ROW PERCENTAGES  —  the comparison the raw counts hide</t>
        </is>
      </c>
      <c r="B11" s="6" t="n"/>
      <c r="C11" s="6" t="n"/>
      <c r="D11" s="6" t="n"/>
      <c r="E11" s="6" t="n"/>
      <c r="F11" s="6" t="n"/>
    </row>
    <row r="12">
      <c r="A12" s="1" t="inlineStr">
        <is>
          <t>Recommended</t>
        </is>
      </c>
      <c r="B12" s="1" t="inlineStr">
        <is>
          <t>++</t>
        </is>
      </c>
      <c r="C12" s="1" t="inlineStr">
        <is>
          <t>+</t>
        </is>
      </c>
      <c r="D12" s="1" t="inlineStr">
        <is>
          <t>0</t>
        </is>
      </c>
      <c r="E12" s="1" t="inlineStr">
        <is>
          <t>-</t>
        </is>
      </c>
      <c r="F12" s="1" t="inlineStr">
        <is>
          <t>Total</t>
        </is>
      </c>
    </row>
    <row r="13">
      <c r="A13" s="7" t="inlineStr">
        <is>
          <t>Yes</t>
        </is>
      </c>
      <c r="B13" s="9">
        <f>B6/$F$6</f>
        <v/>
      </c>
      <c r="C13" s="9">
        <f>C6/$F$6</f>
        <v/>
      </c>
      <c r="D13" s="9">
        <f>D6/$F$6</f>
        <v/>
      </c>
      <c r="E13" s="9">
        <f>E6/$F$6</f>
        <v/>
      </c>
      <c r="F13" s="16">
        <f>SUM(B13:E13)</f>
        <v/>
      </c>
    </row>
    <row r="14">
      <c r="A14" s="7" t="inlineStr">
        <is>
          <t>No</t>
        </is>
      </c>
      <c r="B14" s="9">
        <f>B7/$F$7</f>
        <v/>
      </c>
      <c r="C14" s="9">
        <f>C7/$F$7</f>
        <v/>
      </c>
      <c r="D14" s="9">
        <f>D7/$F$7</f>
        <v/>
      </c>
      <c r="E14" s="9">
        <f>E7/$F$7</f>
        <v/>
      </c>
      <c r="F14" s="16">
        <f>SUM(B14:E14)</f>
        <v/>
      </c>
    </row>
    <row r="16">
      <c r="A16" s="4" t="inlineStr">
        <is>
          <t>All three '++' ratings are recommended; six of the seven '0' ratings are not. Row percentages let you compare the two rows even though they hold 7 and 8 cars.</t>
        </is>
      </c>
    </row>
    <row r="17">
      <c r="A17" s="4" t="inlineStr">
        <is>
          <t>Caution before you interpret this: seven of the fifteen Owner Satisfaction values are the NUMBER zero — the same cells that make AVERAGE return 0. If 0 is a genuine neutral rating this association is real; if it is a missing-data placeholder, it is an artifact. Verify how Consumer Reports codes that scale.</t>
        </is>
      </c>
    </row>
    <row r="19" ht="20" customHeight="1">
      <c r="A19" s="5" t="inlineStr">
        <is>
          <t>CONDITIONAL MEANS  —  what 'Recommended' actually tracks</t>
        </is>
      </c>
      <c r="B19" s="6" t="n"/>
      <c r="C19" s="6" t="n"/>
      <c r="D19" s="6" t="n"/>
      <c r="E19" s="6" t="n"/>
      <c r="F19" s="6" t="n"/>
    </row>
    <row r="20">
      <c r="A20" s="1" t="inlineStr">
        <is>
          <t>Recommended</t>
        </is>
      </c>
      <c r="B20" s="1" t="inlineStr">
        <is>
          <t>n</t>
        </is>
      </c>
      <c r="C20" s="1" t="inlineStr">
        <is>
          <t>Mean Overall Score</t>
        </is>
      </c>
      <c r="D20" s="1" t="inlineStr">
        <is>
          <t>Mean Overall MPG</t>
        </is>
      </c>
      <c r="E20" s="1" t="inlineStr">
        <is>
          <t>Mean Acceleration</t>
        </is>
      </c>
    </row>
    <row r="21">
      <c r="A21" s="7" t="inlineStr">
        <is>
          <t>Yes</t>
        </is>
      </c>
      <c r="B21" s="2">
        <f>COUNTIF(Data!$D$2:$D$16,A21)</f>
        <v/>
      </c>
      <c r="C21" s="14">
        <f>AVERAGEIF(Data!$D$2:$D$16,$A21,Data!$C$2:$C$16)</f>
        <v/>
      </c>
      <c r="D21" s="14">
        <f>AVERAGEIF(Data!$D$2:$D$16,$A21,Data!$F$2:$F$16)</f>
        <v/>
      </c>
      <c r="E21" s="14">
        <f>AVERAGEIF(Data!$D$2:$D$16,$A21,Data!$G$2:$G$16)</f>
        <v/>
      </c>
    </row>
    <row r="22">
      <c r="A22" s="7" t="inlineStr">
        <is>
          <t>No</t>
        </is>
      </c>
      <c r="B22" s="2">
        <f>COUNTIF(Data!$D$2:$D$16,A22)</f>
        <v/>
      </c>
      <c r="C22" s="14">
        <f>AVERAGEIF(Data!$D$2:$D$16,$A22,Data!$C$2:$C$16)</f>
        <v/>
      </c>
      <c r="D22" s="14">
        <f>AVERAGEIF(Data!$D$2:$D$16,$A22,Data!$F$2:$F$16)</f>
        <v/>
      </c>
      <c r="E22" s="14">
        <f>AVERAGEIF(Data!$D$2:$D$16,$A22,Data!$G$2:$G$16)</f>
        <v/>
      </c>
    </row>
    <row r="23">
      <c r="A23" s="7" t="inlineStr">
        <is>
          <t>Gap (Yes − No)</t>
        </is>
      </c>
      <c r="C23" s="17">
        <f>C21-C22</f>
        <v/>
      </c>
      <c r="D23" s="17">
        <f>D21-D22</f>
        <v/>
      </c>
      <c r="E23" s="17">
        <f>E21-E22</f>
        <v/>
      </c>
    </row>
    <row r="25">
      <c r="A25" s="4" t="inlineStr">
        <is>
          <t>A 16-point gap in Overall Score and a gap of about 0.05 mpg. 'Recommended' is a threshold on Overall Score at roughly 68 (lowest Yes = 69, highest No = 67) and is indifferent to fuel economy — which is how the Equinox gets the best mpg on the list and is still not recommended.</t>
        </is>
      </c>
    </row>
    <row r="27">
      <c r="A27" s="7" t="inlineStr">
        <is>
          <t>Lowest score marked Yes</t>
        </is>
      </c>
      <c r="B27" s="2">
        <f>MINIFS(Data!C2:C16,Data!D2:D16,"Yes")</f>
        <v/>
      </c>
    </row>
    <row r="28">
      <c r="A28" s="7" t="inlineStr">
        <is>
          <t>Highest score marked No</t>
        </is>
      </c>
      <c r="B28" s="2">
        <f>MAXIFS(Data!C2:C16,Data!D2:D16,"No")</f>
        <v/>
      </c>
    </row>
  </sheetData>
  <mergeCells count="7">
    <mergeCell ref="A16:F16"/>
    <mergeCell ref="A11:F11"/>
    <mergeCell ref="A19:F19"/>
    <mergeCell ref="A9:F9"/>
    <mergeCell ref="A17:F17"/>
    <mergeCell ref="A4:F4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2026-09-01T17:13:34Z</dcterms:created>
  <dcterms:modified xmlns:dcterms="http://purl.org/dc/terms/" xmlns:xsi="http://www.w3.org/2001/XMLSchema-instance" xsi:type="dcterms:W3CDTF">2026-09-01T17:13:34Z</dcterms:modified>
</cp:coreProperties>
</file>