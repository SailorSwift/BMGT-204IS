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9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GID</t>
        </is>
      </c>
      <c r="B1" s="1" t="inlineStr">
        <is>
          <t>Name</t>
        </is>
      </c>
      <c r="C1" s="1" t="inlineStr">
        <is>
          <t>GPA</t>
        </is>
      </c>
      <c r="D1" s="1" t="inlineStr">
        <is>
          <t>Class Code</t>
        </is>
      </c>
      <c r="E1" s="2" t="inlineStr">
        <is>
          <t>S01 08/27</t>
        </is>
      </c>
      <c r="F1" s="2" t="inlineStr">
        <is>
          <t>S02 09/01</t>
        </is>
      </c>
      <c r="G1" s="2" t="inlineStr">
        <is>
          <t>S03 09/03</t>
        </is>
      </c>
      <c r="H1" s="2" t="inlineStr">
        <is>
          <t>S04 09/08</t>
        </is>
      </c>
      <c r="I1" s="2" t="inlineStr">
        <is>
          <t>S05 09/10</t>
        </is>
      </c>
      <c r="J1" s="2" t="inlineStr">
        <is>
          <t>S06 09/15</t>
        </is>
      </c>
      <c r="K1" s="2" t="inlineStr">
        <is>
          <t>S07 09/17</t>
        </is>
      </c>
      <c r="L1" s="2" t="inlineStr">
        <is>
          <t>S08 09/22</t>
        </is>
      </c>
      <c r="M1" s="2" t="inlineStr">
        <is>
          <t>S09 09/24</t>
        </is>
      </c>
      <c r="N1" s="2" t="inlineStr">
        <is>
          <t>S10 09/29</t>
        </is>
      </c>
      <c r="O1" s="2" t="inlineStr">
        <is>
          <t>S11 10/01</t>
        </is>
      </c>
      <c r="P1" s="2" t="inlineStr">
        <is>
          <t>S12 10/06</t>
        </is>
      </c>
      <c r="Q1" s="2" t="inlineStr">
        <is>
          <t>S13 10/08</t>
        </is>
      </c>
      <c r="R1" s="2" t="inlineStr">
        <is>
          <t>S14 10/13</t>
        </is>
      </c>
      <c r="S1" s="2" t="inlineStr">
        <is>
          <t>S15 10/15</t>
        </is>
      </c>
      <c r="T1" s="2" t="inlineStr">
        <is>
          <t>S16 10/20</t>
        </is>
      </c>
      <c r="U1" s="2" t="inlineStr">
        <is>
          <t>S17 10/22</t>
        </is>
      </c>
      <c r="V1" s="2" t="inlineStr">
        <is>
          <t>S18 10/27</t>
        </is>
      </c>
      <c r="W1" s="2" t="inlineStr">
        <is>
          <t>S19 10/29</t>
        </is>
      </c>
      <c r="X1" s="2" t="inlineStr">
        <is>
          <t>S20 11/03</t>
        </is>
      </c>
      <c r="Y1" s="2" t="inlineStr">
        <is>
          <t>S21 11/05</t>
        </is>
      </c>
      <c r="Z1" s="2" t="inlineStr">
        <is>
          <t>S22 11/10</t>
        </is>
      </c>
      <c r="AA1" s="2" t="inlineStr">
        <is>
          <t>S23 11/12</t>
        </is>
      </c>
      <c r="AB1" s="2" t="inlineStr">
        <is>
          <t>S24 11/17</t>
        </is>
      </c>
      <c r="AC1" s="2" t="inlineStr">
        <is>
          <t>S25 11/19</t>
        </is>
      </c>
      <c r="AD1" s="2" t="inlineStr">
        <is>
          <t>S26 12/01</t>
        </is>
      </c>
      <c r="AE1" s="2" t="inlineStr">
        <is>
          <t>S27 12/03</t>
        </is>
      </c>
      <c r="AF1" s="2" t="inlineStr">
        <is>
          <t>S28 12/08</t>
        </is>
      </c>
      <c r="AG1" s="2" t="inlineStr">
        <is>
          <t>S29 12/10</t>
        </is>
      </c>
      <c r="AH1" s="1" t="inlineStr">
        <is>
          <t>Present</t>
        </is>
      </c>
      <c r="AI1" s="1" t="inlineStr">
        <is>
          <t>Missed</t>
        </is>
      </c>
      <c r="AJ1" s="1" t="inlineStr">
        <is>
          <t>Bonus</t>
        </is>
      </c>
    </row>
    <row r="2">
      <c r="A2" t="n">
        <v>-3015781</v>
      </c>
      <c r="B2" t="inlineStr">
        <is>
          <t>Gibson, Alexander T</t>
        </is>
      </c>
      <c r="C2" t="n">
        <v>1.82</v>
      </c>
      <c r="D2" t="inlineStr">
        <is>
          <t>JR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AH2">
        <f>COUNTIF(E2:AG2,"P")</f>
        <v/>
      </c>
      <c r="AI2">
        <f>COUNTA(E2:AG2)-AH2</f>
        <v/>
      </c>
      <c r="AJ2">
        <f>IF(AI2&lt;=3,15,IF(AI2&lt;=6,10,IF(AI2&lt;=9,5,0)))</f>
        <v/>
      </c>
    </row>
    <row r="3">
      <c r="A3" t="n">
        <v>-3173313</v>
      </c>
      <c r="B3" t="inlineStr">
        <is>
          <t>Wagner, Wynn D</t>
        </is>
      </c>
      <c r="C3" t="inlineStr">
        <is>
          <t xml:space="preserve">	2.46</t>
        </is>
      </c>
      <c r="D3" t="inlineStr">
        <is>
          <t>JR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AH3">
        <f>COUNTIF(E3:AG3,"P")</f>
        <v/>
      </c>
      <c r="AI3">
        <f>COUNTA(E3:AG3)-AH3</f>
        <v/>
      </c>
      <c r="AJ3">
        <f>IF(AI3&lt;=3,15,IF(AI3&lt;=6,10,IF(AI3&lt;=9,5,0)))</f>
        <v/>
      </c>
    </row>
    <row r="4">
      <c r="A4" t="n">
        <v>-2914614</v>
      </c>
      <c r="B4" t="inlineStr">
        <is>
          <t>Zavitz, Isabelle M</t>
        </is>
      </c>
      <c r="C4" t="n">
        <v>2.52</v>
      </c>
      <c r="D4" t="inlineStr">
        <is>
          <t>SR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AH4">
        <f>COUNTIF(E4:AG4,"P")</f>
        <v/>
      </c>
      <c r="AI4">
        <f>COUNTA(E4:AG4)-AH4</f>
        <v/>
      </c>
      <c r="AJ4">
        <f>IF(AI4&lt;=3,15,IF(AI4&lt;=6,10,IF(AI4&lt;=9,5,0)))</f>
        <v/>
      </c>
    </row>
    <row r="5">
      <c r="A5" t="n">
        <v>-3174078</v>
      </c>
      <c r="B5" t="inlineStr">
        <is>
          <t>Long, Ashlyn E</t>
        </is>
      </c>
      <c r="C5" t="n">
        <v>2.52</v>
      </c>
      <c r="D5" t="inlineStr">
        <is>
          <t>JR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AH5">
        <f>COUNTIF(E5:AG5,"P")</f>
        <v/>
      </c>
      <c r="AI5">
        <f>COUNTA(E5:AG5)-AH5</f>
        <v/>
      </c>
      <c r="AJ5">
        <f>IF(AI5&lt;=3,15,IF(AI5&lt;=6,10,IF(AI5&lt;=9,5,0)))</f>
        <v/>
      </c>
    </row>
    <row r="6">
      <c r="A6" t="n">
        <v>-3015671</v>
      </c>
      <c r="B6" t="inlineStr">
        <is>
          <t>Wuellenweber, Parker R</t>
        </is>
      </c>
      <c r="C6" t="n">
        <v>2.63</v>
      </c>
      <c r="D6" t="inlineStr">
        <is>
          <t>JR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AH6">
        <f>COUNTIF(E6:AG6,"P")</f>
        <v/>
      </c>
      <c r="AI6">
        <f>COUNTA(E6:AG6)-AH6</f>
        <v/>
      </c>
      <c r="AJ6">
        <f>IF(AI6&lt;=3,15,IF(AI6&lt;=6,10,IF(AI6&lt;=9,5,0)))</f>
        <v/>
      </c>
    </row>
    <row r="7">
      <c r="A7" t="n">
        <v>-3115029</v>
      </c>
      <c r="B7" t="inlineStr">
        <is>
          <t>Long, Aidan M</t>
        </is>
      </c>
      <c r="C7" t="n">
        <v>2.65</v>
      </c>
      <c r="D7" t="inlineStr">
        <is>
          <t>Sr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AH7">
        <f>COUNTIF(E7:AG7,"P")</f>
        <v/>
      </c>
      <c r="AI7">
        <f>COUNTA(E7:AG7)-AH7</f>
        <v/>
      </c>
      <c r="AJ7">
        <f>IF(AI7&lt;=3,15,IF(AI7&lt;=6,10,IF(AI7&lt;=9,5,0)))</f>
        <v/>
      </c>
    </row>
    <row r="8">
      <c r="A8" t="n">
        <v>-3205337</v>
      </c>
      <c r="B8" t="inlineStr">
        <is>
          <t>Pucci, Nicholaus A</t>
        </is>
      </c>
      <c r="C8" t="n">
        <v>2.74</v>
      </c>
      <c r="D8" t="inlineStr">
        <is>
          <t>JR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AH8">
        <f>COUNTIF(E8:AG8,"P")</f>
        <v/>
      </c>
      <c r="AI8">
        <f>COUNTA(E8:AG8)-AH8</f>
        <v/>
      </c>
      <c r="AJ8">
        <f>IF(AI8&lt;=3,15,IF(AI8&lt;=6,10,IF(AI8&lt;=9,5,0)))</f>
        <v/>
      </c>
    </row>
    <row r="9">
      <c r="A9" t="n">
        <v>-3037325</v>
      </c>
      <c r="B9" t="inlineStr">
        <is>
          <t>Robbins, Tobias D</t>
        </is>
      </c>
      <c r="C9" t="n">
        <v>2.81</v>
      </c>
      <c r="D9" t="inlineStr">
        <is>
          <t>JR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AH9">
        <f>COUNTIF(E9:AG9,"P")</f>
        <v/>
      </c>
      <c r="AI9">
        <f>COUNTA(E9:AG9)-AH9</f>
        <v/>
      </c>
      <c r="AJ9">
        <f>IF(AI9&lt;=3,15,IF(AI9&lt;=6,10,IF(AI9&lt;=9,5,0)))</f>
        <v/>
      </c>
    </row>
    <row r="10">
      <c r="A10" t="n">
        <v>-3076264</v>
      </c>
      <c r="B10" t="inlineStr">
        <is>
          <t>DeLong, Sutton J</t>
        </is>
      </c>
      <c r="C10" t="n">
        <v>2.81</v>
      </c>
      <c r="D10" t="inlineStr">
        <is>
          <t>SR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AH10">
        <f>COUNTIF(E10:AG10,"P")</f>
        <v/>
      </c>
      <c r="AI10">
        <f>COUNTA(E10:AG10)-AH10</f>
        <v/>
      </c>
      <c r="AJ10">
        <f>IF(AI10&lt;=3,15,IF(AI10&lt;=6,10,IF(AI10&lt;=9,5,0)))</f>
        <v/>
      </c>
    </row>
    <row r="11">
      <c r="A11" t="n">
        <v>-3037859</v>
      </c>
      <c r="B11" t="inlineStr">
        <is>
          <t>Hould, Haley B</t>
        </is>
      </c>
      <c r="C11" t="n">
        <v>2.85</v>
      </c>
      <c r="D11" t="inlineStr">
        <is>
          <t>SR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AH11">
        <f>COUNTIF(E11:AG11,"P")</f>
        <v/>
      </c>
      <c r="AI11">
        <f>COUNTA(E11:AG11)-AH11</f>
        <v/>
      </c>
      <c r="AJ11">
        <f>IF(AI11&lt;=3,15,IF(AI11&lt;=6,10,IF(AI11&lt;=9,5,0)))</f>
        <v/>
      </c>
    </row>
    <row r="12">
      <c r="A12" t="n">
        <v>-3108282</v>
      </c>
      <c r="B12" t="inlineStr">
        <is>
          <t>Tuss, Aidan</t>
        </is>
      </c>
      <c r="C12" t="n">
        <v>2.9</v>
      </c>
      <c r="D12" t="inlineStr">
        <is>
          <t>JR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AH12">
        <f>COUNTIF(E12:AG12,"P")</f>
        <v/>
      </c>
      <c r="AI12">
        <f>COUNTA(E12:AG12)-AH12</f>
        <v/>
      </c>
      <c r="AJ12">
        <f>IF(AI12&lt;=3,15,IF(AI12&lt;=6,10,IF(AI12&lt;=9,5,0)))</f>
        <v/>
      </c>
    </row>
    <row r="13">
      <c r="A13" t="n">
        <v>-3274509</v>
      </c>
      <c r="B13" t="inlineStr">
        <is>
          <t>Kenn, Nicholas C</t>
        </is>
      </c>
      <c r="C13" t="n">
        <v>2.94</v>
      </c>
      <c r="D13" t="inlineStr">
        <is>
          <t>SR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AH13">
        <f>COUNTIF(E13:AG13,"P")</f>
        <v/>
      </c>
      <c r="AI13">
        <f>COUNTA(E13:AG13)-AH13</f>
        <v/>
      </c>
      <c r="AJ13">
        <f>IF(AI13&lt;=3,15,IF(AI13&lt;=6,10,IF(AI13&lt;=9,5,0)))</f>
        <v/>
      </c>
    </row>
    <row r="14">
      <c r="A14" t="n">
        <v>-3250841</v>
      </c>
      <c r="B14" t="inlineStr">
        <is>
          <t>Lind, Erik M</t>
        </is>
      </c>
      <c r="C14" t="inlineStr">
        <is>
          <t xml:space="preserve">2.96	</t>
        </is>
      </c>
      <c r="D14" t="inlineStr">
        <is>
          <t>JR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AH14">
        <f>COUNTIF(E14:AG14,"P")</f>
        <v/>
      </c>
      <c r="AI14">
        <f>COUNTA(E14:AG14)-AH14</f>
        <v/>
      </c>
      <c r="AJ14">
        <f>IF(AI14&lt;=3,15,IF(AI14&lt;=6,10,IF(AI14&lt;=9,5,0)))</f>
        <v/>
      </c>
    </row>
    <row r="15">
      <c r="A15" t="n">
        <v>-3294469</v>
      </c>
      <c r="B15" t="inlineStr">
        <is>
          <t>Scheele, Lorelei A</t>
        </is>
      </c>
      <c r="C15" t="n">
        <v>2.97</v>
      </c>
      <c r="D15" t="inlineStr">
        <is>
          <t>JR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AH15">
        <f>COUNTIF(E15:AG15,"P")</f>
        <v/>
      </c>
      <c r="AI15">
        <f>COUNTA(E15:AG15)-AH15</f>
        <v/>
      </c>
      <c r="AJ15">
        <f>IF(AI15&lt;=3,15,IF(AI15&lt;=6,10,IF(AI15&lt;=9,5,0)))</f>
        <v/>
      </c>
    </row>
    <row r="16">
      <c r="A16" t="n">
        <v>-3206110</v>
      </c>
      <c r="B16" t="inlineStr">
        <is>
          <t>Brockmiller, Aili J</t>
        </is>
      </c>
      <c r="C16" t="n">
        <v>3.05</v>
      </c>
      <c r="D16" t="inlineStr">
        <is>
          <t>JR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AH16">
        <f>COUNTIF(E16:AG16,"P")</f>
        <v/>
      </c>
      <c r="AI16">
        <f>COUNTA(E16:AG16)-AH16</f>
        <v/>
      </c>
      <c r="AJ16">
        <f>IF(AI16&lt;=3,15,IF(AI16&lt;=6,10,IF(AI16&lt;=9,5,0)))</f>
        <v/>
      </c>
    </row>
    <row r="17">
      <c r="A17" t="n">
        <v>-2984633</v>
      </c>
      <c r="B17" t="inlineStr">
        <is>
          <t>Garrick, Carly J</t>
        </is>
      </c>
      <c r="C17" t="n">
        <v>3.16</v>
      </c>
      <c r="D17" t="inlineStr">
        <is>
          <t>SR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AH17">
        <f>COUNTIF(E17:AG17,"P")</f>
        <v/>
      </c>
      <c r="AI17">
        <f>COUNTA(E17:AG17)-AH17</f>
        <v/>
      </c>
      <c r="AJ17">
        <f>IF(AI17&lt;=3,15,IF(AI17&lt;=6,10,IF(AI17&lt;=9,5,0)))</f>
        <v/>
      </c>
    </row>
    <row r="18">
      <c r="A18" t="n">
        <v>-3172911</v>
      </c>
      <c r="B18" t="inlineStr">
        <is>
          <t>Huffine, Maddilyn</t>
        </is>
      </c>
      <c r="C18" t="n">
        <v>3.24</v>
      </c>
      <c r="D18" t="inlineStr">
        <is>
          <t>SO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AH18">
        <f>COUNTIF(E18:AG18,"P")</f>
        <v/>
      </c>
      <c r="AI18">
        <f>COUNTA(E18:AG18)-AH18</f>
        <v/>
      </c>
      <c r="AJ18">
        <f>IF(AI18&lt;=3,15,IF(AI18&lt;=6,10,IF(AI18&lt;=9,5,0)))</f>
        <v/>
      </c>
    </row>
    <row r="19">
      <c r="A19" t="n">
        <v>-3069287</v>
      </c>
      <c r="B19" t="inlineStr">
        <is>
          <t>Petitt, Alannah K</t>
        </is>
      </c>
      <c r="C19" t="n">
        <v>3.27</v>
      </c>
      <c r="D19" t="inlineStr">
        <is>
          <t>SR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AH19">
        <f>COUNTIF(E19:AG19,"P")</f>
        <v/>
      </c>
      <c r="AI19">
        <f>COUNTA(E19:AG19)-AH19</f>
        <v/>
      </c>
      <c r="AJ19">
        <f>IF(AI19&lt;=3,15,IF(AI19&lt;=6,10,IF(AI19&lt;=9,5,0)))</f>
        <v/>
      </c>
    </row>
    <row r="20">
      <c r="A20" t="n">
        <v>-3295714</v>
      </c>
      <c r="B20" t="inlineStr">
        <is>
          <t xml:space="preserve">Elsberry, Taytum C	</t>
        </is>
      </c>
      <c r="C20" t="n">
        <v>3.29</v>
      </c>
      <c r="D20" t="inlineStr">
        <is>
          <t>JR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AH20">
        <f>COUNTIF(E20:AG20,"P")</f>
        <v/>
      </c>
      <c r="AI20">
        <f>COUNTA(E20:AG20)-AH20</f>
        <v/>
      </c>
      <c r="AJ20">
        <f>IF(AI20&lt;=3,15,IF(AI20&lt;=6,10,IF(AI20&lt;=9,5,0)))</f>
        <v/>
      </c>
    </row>
    <row r="21">
      <c r="A21" t="n">
        <v>-3202914</v>
      </c>
      <c r="B21" t="inlineStr">
        <is>
          <t>Allee, Noah R</t>
        </is>
      </c>
      <c r="C21" t="n">
        <v>3.3</v>
      </c>
      <c r="D21" t="inlineStr">
        <is>
          <t>SR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AH21">
        <f>COUNTIF(E21:AG21,"P")</f>
        <v/>
      </c>
      <c r="AI21">
        <f>COUNTA(E21:AG21)-AH21</f>
        <v/>
      </c>
      <c r="AJ21">
        <f>IF(AI21&lt;=3,15,IF(AI21&lt;=6,10,IF(AI21&lt;=9,5,0)))</f>
        <v/>
      </c>
    </row>
    <row r="22">
      <c r="A22" t="n">
        <v>-3142840</v>
      </c>
      <c r="B22" t="inlineStr">
        <is>
          <t>Ramales Vazquez, Gizzel</t>
        </is>
      </c>
      <c r="C22" t="n">
        <v>3.31</v>
      </c>
      <c r="D22" t="inlineStr">
        <is>
          <t>JR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AH22">
        <f>COUNTIF(E22:AG22,"P")</f>
        <v/>
      </c>
      <c r="AI22">
        <f>COUNTA(E22:AG22)-AH22</f>
        <v/>
      </c>
      <c r="AJ22">
        <f>IF(AI22&lt;=3,15,IF(AI22&lt;=6,10,IF(AI22&lt;=9,5,0)))</f>
        <v/>
      </c>
    </row>
    <row r="23">
      <c r="A23" t="n">
        <v>-3141226</v>
      </c>
      <c r="B23" t="inlineStr">
        <is>
          <t>Wheeler, Ty D</t>
        </is>
      </c>
      <c r="C23" t="n">
        <v>3.33</v>
      </c>
      <c r="D23" t="inlineStr">
        <is>
          <t>JR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AH23">
        <f>COUNTIF(E23:AG23,"P")</f>
        <v/>
      </c>
      <c r="AI23">
        <f>COUNTA(E23:AG23)-AH23</f>
        <v/>
      </c>
      <c r="AJ23">
        <f>IF(AI23&lt;=3,15,IF(AI23&lt;=6,10,IF(AI23&lt;=9,5,0)))</f>
        <v/>
      </c>
    </row>
    <row r="24">
      <c r="A24" t="n">
        <v>-3090750</v>
      </c>
      <c r="B24" t="inlineStr">
        <is>
          <t>Crowder, Lauren C</t>
        </is>
      </c>
      <c r="C24" t="n">
        <v>3.4</v>
      </c>
      <c r="D24" t="inlineStr">
        <is>
          <t>SR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AH24">
        <f>COUNTIF(E24:AG24,"P")</f>
        <v/>
      </c>
      <c r="AI24">
        <f>COUNTA(E24:AG24)-AH24</f>
        <v/>
      </c>
      <c r="AJ24">
        <f>IF(AI24&lt;=3,15,IF(AI24&lt;=6,10,IF(AI24&lt;=9,5,0)))</f>
        <v/>
      </c>
    </row>
    <row r="25">
      <c r="A25" t="n">
        <v>-3068973</v>
      </c>
      <c r="B25" t="inlineStr">
        <is>
          <t>Wiens, Hudson R</t>
        </is>
      </c>
      <c r="C25" t="n">
        <v>3.41</v>
      </c>
      <c r="D25" t="inlineStr">
        <is>
          <t>JR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AH25">
        <f>COUNTIF(E25:AG25,"P")</f>
        <v/>
      </c>
      <c r="AI25">
        <f>COUNTA(E25:AG25)-AH25</f>
        <v/>
      </c>
      <c r="AJ25">
        <f>IF(AI25&lt;=3,15,IF(AI25&lt;=6,10,IF(AI25&lt;=9,5,0)))</f>
        <v/>
      </c>
    </row>
    <row r="26">
      <c r="A26" t="inlineStr">
        <is>
          <t xml:space="preserve">	-03353071</t>
        </is>
      </c>
      <c r="B26" t="inlineStr">
        <is>
          <t>Linnabary, Judson</t>
        </is>
      </c>
      <c r="C26" t="n">
        <v>3.45</v>
      </c>
      <c r="D26" t="inlineStr">
        <is>
          <t>JR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  <c r="AH26">
        <f>COUNTIF(E26:AG26,"P")</f>
        <v/>
      </c>
      <c r="AI26">
        <f>COUNTA(E26:AG26)-AH26</f>
        <v/>
      </c>
      <c r="AJ26">
        <f>IF(AI26&lt;=3,15,IF(AI26&lt;=6,10,IF(AI26&lt;=9,5,0)))</f>
        <v/>
      </c>
    </row>
    <row r="27">
      <c r="A27" t="inlineStr">
        <is>
          <t xml:space="preserve">	-03227341</t>
        </is>
      </c>
      <c r="B27" t="inlineStr">
        <is>
          <t>Telford, Shawny G</t>
        </is>
      </c>
      <c r="C27" t="n">
        <v>3.47</v>
      </c>
      <c r="D27" t="inlineStr">
        <is>
          <t>SR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AH27">
        <f>COUNTIF(E27:AG27,"P")</f>
        <v/>
      </c>
      <c r="AI27">
        <f>COUNTA(E27:AG27)-AH27</f>
        <v/>
      </c>
      <c r="AJ27">
        <f>IF(AI27&lt;=3,15,IF(AI27&lt;=6,10,IF(AI27&lt;=9,5,0)))</f>
        <v/>
      </c>
    </row>
    <row r="28">
      <c r="A28" t="n">
        <v>-3271392</v>
      </c>
      <c r="B28" t="inlineStr">
        <is>
          <t>Robbins, Lily E</t>
        </is>
      </c>
      <c r="C28" t="n">
        <v>3.48</v>
      </c>
      <c r="D28" t="inlineStr">
        <is>
          <t>JR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AH28">
        <f>COUNTIF(E28:AG28,"P")</f>
        <v/>
      </c>
      <c r="AI28">
        <f>COUNTA(E28:AG28)-AH28</f>
        <v/>
      </c>
      <c r="AJ28">
        <f>IF(AI28&lt;=3,15,IF(AI28&lt;=6,10,IF(AI28&lt;=9,5,0)))</f>
        <v/>
      </c>
    </row>
    <row r="29">
      <c r="A29" t="n">
        <v>-3433124</v>
      </c>
      <c r="B29" t="inlineStr">
        <is>
          <t>Longwill, Ethan W</t>
        </is>
      </c>
      <c r="C29" t="inlineStr">
        <is>
          <t xml:space="preserve">3.5	</t>
        </is>
      </c>
      <c r="D29" t="inlineStr">
        <is>
          <t>SO</t>
        </is>
      </c>
      <c r="E29" t="inlineStr">
        <is>
          <t>P</t>
        </is>
      </c>
      <c r="F29" t="inlineStr">
        <is>
          <t>P</t>
        </is>
      </c>
      <c r="G29" t="inlineStr">
        <is>
          <t>P</t>
        </is>
      </c>
      <c r="AH29">
        <f>COUNTIF(E29:AG29,"P")</f>
        <v/>
      </c>
      <c r="AI29">
        <f>COUNTA(E29:AG29)-AH29</f>
        <v/>
      </c>
      <c r="AJ29">
        <f>IF(AI29&lt;=3,15,IF(AI29&lt;=6,10,IF(AI29&lt;=9,5,0)))</f>
        <v/>
      </c>
    </row>
    <row r="30">
      <c r="A30" t="n">
        <v>-3427802</v>
      </c>
      <c r="B30" t="inlineStr">
        <is>
          <t>Allen, Samantha M</t>
        </is>
      </c>
      <c r="C30" t="n">
        <v>3.57</v>
      </c>
      <c r="D30" t="inlineStr">
        <is>
          <t>SR</t>
        </is>
      </c>
      <c r="E30" t="inlineStr">
        <is>
          <t>P</t>
        </is>
      </c>
      <c r="F30" t="inlineStr">
        <is>
          <t>P</t>
        </is>
      </c>
      <c r="G30" t="inlineStr">
        <is>
          <t>P</t>
        </is>
      </c>
      <c r="AH30">
        <f>COUNTIF(E30:AG30,"P")</f>
        <v/>
      </c>
      <c r="AI30">
        <f>COUNTA(E30:AG30)-AH30</f>
        <v/>
      </c>
      <c r="AJ30">
        <f>IF(AI30&lt;=3,15,IF(AI30&lt;=6,10,IF(AI30&lt;=9,5,0)))</f>
        <v/>
      </c>
    </row>
    <row r="31">
      <c r="A31" t="n">
        <v>-3312745</v>
      </c>
      <c r="B31" t="inlineStr">
        <is>
          <t>Becker, Ryne C</t>
        </is>
      </c>
      <c r="C31" t="n">
        <v>3.61</v>
      </c>
      <c r="D31" t="inlineStr">
        <is>
          <t>SR</t>
        </is>
      </c>
      <c r="E31" t="inlineStr">
        <is>
          <t>P</t>
        </is>
      </c>
      <c r="F31" t="inlineStr">
        <is>
          <t>P</t>
        </is>
      </c>
      <c r="G31" t="inlineStr">
        <is>
          <t>P</t>
        </is>
      </c>
      <c r="AH31">
        <f>COUNTIF(E31:AG31,"P")</f>
        <v/>
      </c>
      <c r="AI31">
        <f>COUNTA(E31:AG31)-AH31</f>
        <v/>
      </c>
      <c r="AJ31">
        <f>IF(AI31&lt;=3,15,IF(AI31&lt;=6,10,IF(AI31&lt;=9,5,0)))</f>
        <v/>
      </c>
    </row>
    <row r="32">
      <c r="A32" t="n">
        <v>-3187727</v>
      </c>
      <c r="B32" t="inlineStr">
        <is>
          <t>Ward, Madison E</t>
        </is>
      </c>
      <c r="C32" t="n">
        <v>3.65</v>
      </c>
      <c r="D32" t="inlineStr">
        <is>
          <t>JR</t>
        </is>
      </c>
      <c r="E32" t="inlineStr">
        <is>
          <t>P</t>
        </is>
      </c>
      <c r="F32" t="inlineStr">
        <is>
          <t>P</t>
        </is>
      </c>
      <c r="G32" t="inlineStr">
        <is>
          <t>P</t>
        </is>
      </c>
      <c r="AH32">
        <f>COUNTIF(E32:AG32,"P")</f>
        <v/>
      </c>
      <c r="AI32">
        <f>COUNTA(E32:AG32)-AH32</f>
        <v/>
      </c>
      <c r="AJ32">
        <f>IF(AI32&lt;=3,15,IF(AI32&lt;=6,10,IF(AI32&lt;=9,5,0)))</f>
        <v/>
      </c>
    </row>
    <row r="33">
      <c r="A33" t="n">
        <v>-3240767</v>
      </c>
      <c r="B33" t="inlineStr">
        <is>
          <t>Johns, Wyatt D</t>
        </is>
      </c>
      <c r="C33" t="n">
        <v>3.68</v>
      </c>
      <c r="D33" t="inlineStr">
        <is>
          <t>SR</t>
        </is>
      </c>
      <c r="E33" t="inlineStr">
        <is>
          <t>P</t>
        </is>
      </c>
      <c r="F33" t="inlineStr">
        <is>
          <t>P</t>
        </is>
      </c>
      <c r="G33" t="inlineStr">
        <is>
          <t>P</t>
        </is>
      </c>
      <c r="AH33">
        <f>COUNTIF(E33:AG33,"P")</f>
        <v/>
      </c>
      <c r="AI33">
        <f>COUNTA(E33:AG33)-AH33</f>
        <v/>
      </c>
      <c r="AJ33">
        <f>IF(AI33&lt;=3,15,IF(AI33&lt;=6,10,IF(AI33&lt;=9,5,0)))</f>
        <v/>
      </c>
    </row>
    <row r="34">
      <c r="A34" t="n">
        <v>-3270966</v>
      </c>
      <c r="B34" t="inlineStr">
        <is>
          <t>Harvey, Jacob M</t>
        </is>
      </c>
      <c r="C34" t="n">
        <v>3.68</v>
      </c>
      <c r="D34" t="inlineStr">
        <is>
          <t>SR</t>
        </is>
      </c>
      <c r="E34" t="inlineStr">
        <is>
          <t>P</t>
        </is>
      </c>
      <c r="F34" t="inlineStr">
        <is>
          <t>P</t>
        </is>
      </c>
      <c r="G34" t="inlineStr">
        <is>
          <t>P</t>
        </is>
      </c>
      <c r="AH34">
        <f>COUNTIF(E34:AG34,"P")</f>
        <v/>
      </c>
      <c r="AI34">
        <f>COUNTA(E34:AG34)-AH34</f>
        <v/>
      </c>
      <c r="AJ34">
        <f>IF(AI34&lt;=3,15,IF(AI34&lt;=6,10,IF(AI34&lt;=9,5,0)))</f>
        <v/>
      </c>
    </row>
    <row r="35">
      <c r="A35" t="inlineStr">
        <is>
          <t xml:space="preserve">	-03183298	</t>
        </is>
      </c>
      <c r="B35" t="inlineStr">
        <is>
          <t>Harris, Addison J</t>
        </is>
      </c>
      <c r="C35" t="n">
        <v>3.68</v>
      </c>
      <c r="D35" t="inlineStr">
        <is>
          <t>JR</t>
        </is>
      </c>
      <c r="E35" t="inlineStr">
        <is>
          <t>P</t>
        </is>
      </c>
      <c r="F35" t="inlineStr">
        <is>
          <t>P</t>
        </is>
      </c>
      <c r="G35" t="inlineStr">
        <is>
          <t>P</t>
        </is>
      </c>
      <c r="AH35">
        <f>COUNTIF(E35:AG35,"P")</f>
        <v/>
      </c>
      <c r="AI35">
        <f>COUNTA(E35:AG35)-AH35</f>
        <v/>
      </c>
      <c r="AJ35">
        <f>IF(AI35&lt;=3,15,IF(AI35&lt;=6,10,IF(AI35&lt;=9,5,0)))</f>
        <v/>
      </c>
    </row>
    <row r="36">
      <c r="A36" t="inlineStr">
        <is>
          <t xml:space="preserve">	-03154774</t>
        </is>
      </c>
      <c r="B36" t="inlineStr">
        <is>
          <t>Desler, Ethan</t>
        </is>
      </c>
      <c r="C36" t="n">
        <v>3.7</v>
      </c>
      <c r="D36" t="inlineStr">
        <is>
          <t>JR</t>
        </is>
      </c>
      <c r="E36" t="inlineStr">
        <is>
          <t>P</t>
        </is>
      </c>
      <c r="F36" t="inlineStr">
        <is>
          <t>P</t>
        </is>
      </c>
      <c r="G36" t="inlineStr">
        <is>
          <t>P</t>
        </is>
      </c>
      <c r="AH36">
        <f>COUNTIF(E36:AG36,"P")</f>
        <v/>
      </c>
      <c r="AI36">
        <f>COUNTA(E36:AG36)-AH36</f>
        <v/>
      </c>
      <c r="AJ36">
        <f>IF(AI36&lt;=3,15,IF(AI36&lt;=6,10,IF(AI36&lt;=9,5,0)))</f>
        <v/>
      </c>
    </row>
    <row r="37">
      <c r="A37" t="n">
        <v>-3181585</v>
      </c>
      <c r="B37" t="inlineStr">
        <is>
          <t>Kiser, Maya L</t>
        </is>
      </c>
      <c r="C37" t="inlineStr">
        <is>
          <t xml:space="preserve">3.73	</t>
        </is>
      </c>
      <c r="D37" t="inlineStr">
        <is>
          <t>SR</t>
        </is>
      </c>
      <c r="E37" t="inlineStr">
        <is>
          <t>P</t>
        </is>
      </c>
      <c r="F37" t="inlineStr">
        <is>
          <t>P</t>
        </is>
      </c>
      <c r="G37" t="inlineStr">
        <is>
          <t>P</t>
        </is>
      </c>
      <c r="AH37">
        <f>COUNTIF(E37:AG37,"P")</f>
        <v/>
      </c>
      <c r="AI37">
        <f>COUNTA(E37:AG37)-AH37</f>
        <v/>
      </c>
      <c r="AJ37">
        <f>IF(AI37&lt;=3,15,IF(AI37&lt;=6,10,IF(AI37&lt;=9,5,0)))</f>
        <v/>
      </c>
    </row>
    <row r="38">
      <c r="A38" t="inlineStr">
        <is>
          <t xml:space="preserve">	-03267075</t>
        </is>
      </c>
      <c r="B38" t="inlineStr">
        <is>
          <t>Holzer, Cordell</t>
        </is>
      </c>
      <c r="C38" t="n">
        <v>3.74</v>
      </c>
      <c r="D38" t="inlineStr">
        <is>
          <t>JR</t>
        </is>
      </c>
      <c r="E38" t="inlineStr">
        <is>
          <t>P</t>
        </is>
      </c>
      <c r="F38" t="inlineStr">
        <is>
          <t>P</t>
        </is>
      </c>
      <c r="G38" t="inlineStr">
        <is>
          <t>P</t>
        </is>
      </c>
      <c r="AH38">
        <f>COUNTIF(E38:AG38,"P")</f>
        <v/>
      </c>
      <c r="AI38">
        <f>COUNTA(E38:AG38)-AH38</f>
        <v/>
      </c>
      <c r="AJ38">
        <f>IF(AI38&lt;=3,15,IF(AI38&lt;=6,10,IF(AI38&lt;=9,5,0)))</f>
        <v/>
      </c>
    </row>
    <row r="39">
      <c r="A39" t="inlineStr">
        <is>
          <t xml:space="preserve">	-03166244</t>
        </is>
      </c>
      <c r="B39" t="inlineStr">
        <is>
          <t>Olderman, Boone Y</t>
        </is>
      </c>
      <c r="C39" t="n">
        <v>3.75</v>
      </c>
      <c r="D39" t="inlineStr">
        <is>
          <t>SR</t>
        </is>
      </c>
      <c r="E39" t="inlineStr">
        <is>
          <t>P</t>
        </is>
      </c>
      <c r="F39" t="inlineStr">
        <is>
          <t>P</t>
        </is>
      </c>
      <c r="G39" t="inlineStr">
        <is>
          <t>P</t>
        </is>
      </c>
      <c r="AH39">
        <f>COUNTIF(E39:AG39,"P")</f>
        <v/>
      </c>
      <c r="AI39">
        <f>COUNTA(E39:AG39)-AH39</f>
        <v/>
      </c>
      <c r="AJ39">
        <f>IF(AI39&lt;=3,15,IF(AI39&lt;=6,10,IF(AI39&lt;=9,5,0)))</f>
        <v/>
      </c>
    </row>
    <row r="40">
      <c r="A40" t="inlineStr">
        <is>
          <t xml:space="preserve">	-03171733</t>
        </is>
      </c>
      <c r="B40" t="inlineStr">
        <is>
          <t>Kraus, Ellie M</t>
        </is>
      </c>
      <c r="C40" t="inlineStr">
        <is>
          <t xml:space="preserve">	3.83</t>
        </is>
      </c>
      <c r="D40" t="inlineStr">
        <is>
          <t>SR</t>
        </is>
      </c>
      <c r="E40" t="inlineStr">
        <is>
          <t>P</t>
        </is>
      </c>
      <c r="F40" t="inlineStr">
        <is>
          <t>P</t>
        </is>
      </c>
      <c r="G40" t="inlineStr">
        <is>
          <t>P</t>
        </is>
      </c>
      <c r="AH40">
        <f>COUNTIF(E40:AG40,"P")</f>
        <v/>
      </c>
      <c r="AI40">
        <f>COUNTA(E40:AG40)-AH40</f>
        <v/>
      </c>
      <c r="AJ40">
        <f>IF(AI40&lt;=3,15,IF(AI40&lt;=6,10,IF(AI40&lt;=9,5,0)))</f>
        <v/>
      </c>
    </row>
    <row r="41">
      <c r="A41" t="n">
        <v>-2760514</v>
      </c>
      <c r="B41" t="inlineStr">
        <is>
          <t>Rich, Sarah J</t>
        </is>
      </c>
      <c r="C41" t="n">
        <v>3.92</v>
      </c>
      <c r="D41" t="inlineStr">
        <is>
          <t>SR</t>
        </is>
      </c>
      <c r="E41" t="inlineStr">
        <is>
          <t>P</t>
        </is>
      </c>
      <c r="F41" t="inlineStr">
        <is>
          <t>P</t>
        </is>
      </c>
      <c r="G41" t="inlineStr">
        <is>
          <t>P</t>
        </is>
      </c>
      <c r="AH41">
        <f>COUNTIF(E41:AG41,"P")</f>
        <v/>
      </c>
      <c r="AI41">
        <f>COUNTA(E41:AG41)-AH41</f>
        <v/>
      </c>
      <c r="AJ41">
        <f>IF(AI41&lt;=3,15,IF(AI41&lt;=6,10,IF(AI41&lt;=9,5,0)))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2026-09-04T20:46:57Z</dcterms:created>
  <dcterms:modified xmlns:dcterms="http://purl.org/dc/terms/" xmlns:xsi="http://www.w3.org/2001/XMLSchema-instance" xsi:type="dcterms:W3CDTF">2026-09-04T20:46:57Z</dcterms:modified>
</cp:coreProperties>
</file>