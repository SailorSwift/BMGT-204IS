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00A30B2A-B8D7-4A74-AD6D-86BD55DCE5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2" r:id="rId1"/>
    <sheet name="Templat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5" i="3" l="1"/>
  <c r="D4" i="3"/>
  <c r="D10" i="3" s="1"/>
  <c r="D12" i="3" l="1"/>
  <c r="D11" i="3"/>
  <c r="D14" i="3" s="1"/>
  <c r="D15" i="3" l="1"/>
  <c r="D16" i="3" s="1"/>
</calcChain>
</file>

<file path=xl/sharedStrings.xml><?xml version="1.0" encoding="utf-8"?>
<sst xmlns="http://schemas.openxmlformats.org/spreadsheetml/2006/main" count="15" uniqueCount="14">
  <si>
    <t>Units</t>
  </si>
  <si>
    <t>Standard Error</t>
  </si>
  <si>
    <t>Hypothesized Value</t>
  </si>
  <si>
    <t>Degrees of Freedom</t>
  </si>
  <si>
    <t>Sample Size</t>
  </si>
  <si>
    <t>Hypothesis Test about a Population Mean:</t>
  </si>
  <si>
    <t>Sample Mean</t>
  </si>
  <si>
    <t>Sample Standard Deviation</t>
  </si>
  <si>
    <t>`</t>
  </si>
  <si>
    <r>
      <t>σ</t>
    </r>
    <r>
      <rPr>
        <b/>
        <sz val="11"/>
        <rFont val="Calibri"/>
        <family val="2"/>
        <scheme val="minor"/>
      </rPr>
      <t xml:space="preserve"> Unknown Case</t>
    </r>
  </si>
  <si>
    <r>
      <t xml:space="preserve">Test Statistic </t>
    </r>
    <r>
      <rPr>
        <b/>
        <i/>
        <sz val="11"/>
        <rFont val="Calibri"/>
        <family val="2"/>
        <scheme val="minor"/>
      </rPr>
      <t>t</t>
    </r>
  </si>
  <si>
    <r>
      <t>p</t>
    </r>
    <r>
      <rPr>
        <b/>
        <sz val="11"/>
        <rFont val="Calibri"/>
        <family val="2"/>
        <scheme val="minor"/>
      </rPr>
      <t>-value (Lower Tail)</t>
    </r>
  </si>
  <si>
    <r>
      <t>p</t>
    </r>
    <r>
      <rPr>
        <b/>
        <sz val="11"/>
        <rFont val="Calibri"/>
        <family val="2"/>
        <scheme val="minor"/>
      </rPr>
      <t>-value (Upper Tail)</t>
    </r>
  </si>
  <si>
    <r>
      <t>p</t>
    </r>
    <r>
      <rPr>
        <b/>
        <sz val="11"/>
        <rFont val="Calibri"/>
        <family val="2"/>
        <scheme val="minor"/>
      </rPr>
      <t>-value (Two Tail)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</si>
</sst>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name val="Calibri"/>
      <family val="2"/>
      <scheme val="minor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Font="1"/>
    <xf numFmtId="0" fontId="2" fillId="0" borderId="0" xfId="0" applyFont="1"/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2" fontId="0" fillId="0" borderId="0" xfId="0" applyNumberFormat="1" applyFont="1"/>
    <xf numFmtId="164" fontId="0" fillId="0" borderId="0" xfId="0" applyNumberFormat="1" applyFont="1"/>
    <xf numFmtId="0" fontId="4" fillId="0" borderId="0" xfId="0" applyFont="1" applyAlignment="1">
      <alignment horizontal="right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/>
  </sheetViews>
  <sheetFormatPr defaultColWidth="9.08984375" defaultRowHeight="14.5" x14ac:dyDescent="0.35"/>
  <cols>
    <col min="1" max="16384" width="9.08984375" style="2"/>
  </cols>
  <sheetData>
    <row r="1" spans="1:1" x14ac:dyDescent="0.35">
      <c r="A1" s="1" t="s">
        <v>0</v>
      </c>
    </row>
    <row r="2" spans="1:1" x14ac:dyDescent="0.35">
      <c r="A2" s="3">
        <v>26</v>
      </c>
    </row>
    <row r="3" spans="1:1" x14ac:dyDescent="0.35">
      <c r="A3" s="3">
        <v>23</v>
      </c>
    </row>
    <row r="4" spans="1:1" x14ac:dyDescent="0.35">
      <c r="A4" s="3">
        <v>32</v>
      </c>
    </row>
    <row r="5" spans="1:1" x14ac:dyDescent="0.35">
      <c r="A5" s="3">
        <v>47</v>
      </c>
    </row>
    <row r="6" spans="1:1" x14ac:dyDescent="0.35">
      <c r="A6" s="3">
        <v>45</v>
      </c>
    </row>
    <row r="7" spans="1:1" x14ac:dyDescent="0.35">
      <c r="A7" s="3">
        <v>31</v>
      </c>
    </row>
    <row r="8" spans="1:1" x14ac:dyDescent="0.35">
      <c r="A8" s="3">
        <v>47</v>
      </c>
    </row>
    <row r="9" spans="1:1" x14ac:dyDescent="0.35">
      <c r="A9" s="3">
        <v>59</v>
      </c>
    </row>
    <row r="10" spans="1:1" x14ac:dyDescent="0.35">
      <c r="A10" s="3">
        <v>21</v>
      </c>
    </row>
    <row r="11" spans="1:1" x14ac:dyDescent="0.35">
      <c r="A11" s="3">
        <v>52</v>
      </c>
    </row>
    <row r="12" spans="1:1" x14ac:dyDescent="0.35">
      <c r="A12" s="3">
        <v>45</v>
      </c>
    </row>
    <row r="13" spans="1:1" x14ac:dyDescent="0.35">
      <c r="A13" s="3">
        <v>53</v>
      </c>
    </row>
    <row r="14" spans="1:1" x14ac:dyDescent="0.35">
      <c r="A14" s="3">
        <v>34</v>
      </c>
    </row>
    <row r="15" spans="1:1" x14ac:dyDescent="0.35">
      <c r="A15" s="3">
        <v>45</v>
      </c>
    </row>
    <row r="16" spans="1:1" x14ac:dyDescent="0.35">
      <c r="A16" s="3">
        <v>39</v>
      </c>
    </row>
    <row r="17" spans="1:1" x14ac:dyDescent="0.35">
      <c r="A17" s="3">
        <v>52</v>
      </c>
    </row>
    <row r="18" spans="1:1" x14ac:dyDescent="0.35">
      <c r="A18" s="3">
        <v>52</v>
      </c>
    </row>
    <row r="19" spans="1:1" x14ac:dyDescent="0.35">
      <c r="A19" s="3">
        <v>22</v>
      </c>
    </row>
    <row r="20" spans="1:1" x14ac:dyDescent="0.35">
      <c r="A20" s="3">
        <v>22</v>
      </c>
    </row>
    <row r="21" spans="1:1" x14ac:dyDescent="0.35">
      <c r="A21" s="3">
        <v>33</v>
      </c>
    </row>
    <row r="22" spans="1:1" x14ac:dyDescent="0.35">
      <c r="A22" s="3">
        <v>21</v>
      </c>
    </row>
    <row r="23" spans="1:1" x14ac:dyDescent="0.35">
      <c r="A23" s="3">
        <v>34</v>
      </c>
    </row>
    <row r="24" spans="1:1" x14ac:dyDescent="0.35">
      <c r="A24" s="3">
        <v>42</v>
      </c>
    </row>
    <row r="25" spans="1:1" x14ac:dyDescent="0.35">
      <c r="A25" s="3">
        <v>30</v>
      </c>
    </row>
    <row r="26" spans="1:1" x14ac:dyDescent="0.35">
      <c r="A26" s="3">
        <v>28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"/>
  <sheetViews>
    <sheetView workbookViewId="0"/>
  </sheetViews>
  <sheetFormatPr defaultColWidth="9.08984375" defaultRowHeight="14.5" x14ac:dyDescent="0.35"/>
  <cols>
    <col min="1" max="1" width="7.26953125" style="6" customWidth="1"/>
    <col min="2" max="2" width="4.1796875" style="4" customWidth="1"/>
    <col min="3" max="3" width="23.81640625" style="4" customWidth="1"/>
    <col min="4" max="4" width="12.54296875" style="4" customWidth="1"/>
    <col min="5" max="6" width="6.08984375" style="4" customWidth="1"/>
    <col min="7" max="16384" width="9.08984375" style="4"/>
  </cols>
  <sheetData>
    <row r="1" spans="1:4" x14ac:dyDescent="0.35">
      <c r="A1" s="1" t="s">
        <v>0</v>
      </c>
      <c r="C1" s="5" t="s">
        <v>5</v>
      </c>
      <c r="D1" s="5"/>
    </row>
    <row r="2" spans="1:4" x14ac:dyDescent="0.35">
      <c r="A2" s="6">
        <v>26</v>
      </c>
      <c r="C2" s="7" t="s">
        <v>9</v>
      </c>
      <c r="D2" s="7"/>
    </row>
    <row r="3" spans="1:4" x14ac:dyDescent="0.35">
      <c r="A3" s="6">
        <v>23</v>
      </c>
    </row>
    <row r="4" spans="1:4" x14ac:dyDescent="0.35">
      <c r="A4" s="6">
        <v>32</v>
      </c>
      <c r="C4" s="8" t="s">
        <v>4</v>
      </c>
      <c r="D4" s="4">
        <f>COUNT(A:A)</f>
        <v>25</v>
      </c>
    </row>
    <row r="5" spans="1:4" x14ac:dyDescent="0.35">
      <c r="A5" s="6">
        <v>47</v>
      </c>
      <c r="C5" s="8" t="s">
        <v>6</v>
      </c>
      <c r="D5" s="4">
        <f>AVERAGE(A:A)</f>
        <v>37.4</v>
      </c>
    </row>
    <row r="6" spans="1:4" x14ac:dyDescent="0.35">
      <c r="A6" s="6">
        <v>45</v>
      </c>
      <c r="C6" s="8" t="s">
        <v>7</v>
      </c>
      <c r="D6" s="9">
        <f>_xlfn.STDEV.S(A:A)</f>
        <v>11.789826122551595</v>
      </c>
    </row>
    <row r="7" spans="1:4" x14ac:dyDescent="0.35">
      <c r="A7" s="6">
        <v>31</v>
      </c>
    </row>
    <row r="8" spans="1:4" x14ac:dyDescent="0.35">
      <c r="A8" s="6">
        <v>47</v>
      </c>
      <c r="C8" s="8" t="s">
        <v>2</v>
      </c>
      <c r="D8" s="4">
        <v>40</v>
      </c>
    </row>
    <row r="9" spans="1:4" x14ac:dyDescent="0.35">
      <c r="A9" s="6">
        <v>59</v>
      </c>
    </row>
    <row r="10" spans="1:4" x14ac:dyDescent="0.35">
      <c r="A10" s="6">
        <v>21</v>
      </c>
      <c r="C10" s="8" t="s">
        <v>1</v>
      </c>
      <c r="D10" s="10">
        <f>D6/SQRT(D4)</f>
        <v>2.3579652245103189</v>
      </c>
    </row>
    <row r="11" spans="1:4" x14ac:dyDescent="0.35">
      <c r="A11" s="6">
        <v>52</v>
      </c>
      <c r="C11" s="8" t="s">
        <v>10</v>
      </c>
      <c r="D11" s="10">
        <f>(D5-D8)/D10</f>
        <v>-1.1026456085839629</v>
      </c>
    </row>
    <row r="12" spans="1:4" x14ac:dyDescent="0.35">
      <c r="A12" s="6">
        <v>45</v>
      </c>
      <c r="C12" s="8" t="s">
        <v>3</v>
      </c>
      <c r="D12" s="4">
        <f>D4-1</f>
        <v>24</v>
      </c>
    </row>
    <row r="13" spans="1:4" x14ac:dyDescent="0.35">
      <c r="A13" s="6">
        <v>53</v>
      </c>
    </row>
    <row r="14" spans="1:4" x14ac:dyDescent="0.35">
      <c r="A14" s="6">
        <v>34</v>
      </c>
      <c r="C14" s="11" t="s">
        <v>11</v>
      </c>
      <c r="D14" s="10">
        <f>_xlfn.T.DIST(D11,D12,TRUE)</f>
        <v>0.14055785893205264</v>
      </c>
    </row>
    <row r="15" spans="1:4" x14ac:dyDescent="0.35">
      <c r="A15" s="6">
        <v>45</v>
      </c>
      <c r="C15" s="11" t="s">
        <v>12</v>
      </c>
      <c r="D15" s="10">
        <f>1-D14</f>
        <v>0.85944214106794736</v>
      </c>
    </row>
    <row r="16" spans="1:4" x14ac:dyDescent="0.35">
      <c r="A16" s="6">
        <v>39</v>
      </c>
      <c r="C16" s="11" t="s">
        <v>13</v>
      </c>
      <c r="D16" s="10">
        <f>2*MIN(D14,D15)</f>
        <v>0.28111571786410527</v>
      </c>
    </row>
    <row r="17" spans="1:1" x14ac:dyDescent="0.35">
      <c r="A17" s="6">
        <v>52</v>
      </c>
    </row>
    <row r="18" spans="1:1" x14ac:dyDescent="0.35">
      <c r="A18" s="6">
        <v>52</v>
      </c>
    </row>
    <row r="19" spans="1:1" x14ac:dyDescent="0.35">
      <c r="A19" s="6">
        <v>22</v>
      </c>
    </row>
    <row r="20" spans="1:1" x14ac:dyDescent="0.35">
      <c r="A20" s="6">
        <v>22</v>
      </c>
    </row>
    <row r="21" spans="1:1" x14ac:dyDescent="0.35">
      <c r="A21" s="6">
        <v>33</v>
      </c>
    </row>
    <row r="22" spans="1:1" x14ac:dyDescent="0.35">
      <c r="A22" s="6">
        <v>21</v>
      </c>
    </row>
    <row r="23" spans="1:1" x14ac:dyDescent="0.35">
      <c r="A23" s="6">
        <v>34</v>
      </c>
    </row>
    <row r="24" spans="1:1" x14ac:dyDescent="0.35">
      <c r="A24" s="6">
        <v>42</v>
      </c>
    </row>
    <row r="25" spans="1:1" x14ac:dyDescent="0.35">
      <c r="A25" s="6">
        <v>30</v>
      </c>
    </row>
    <row r="26" spans="1:1" x14ac:dyDescent="0.35">
      <c r="A26" s="6">
        <v>28</v>
      </c>
    </row>
    <row r="40" spans="14:14" x14ac:dyDescent="0.35">
      <c r="N40" s="4" t="s">
        <v>8</v>
      </c>
    </row>
  </sheetData>
  <mergeCells count="1">
    <mergeCell ref="C2:D2"/>
  </mergeCells>
  <printOptions headings="1" gridLines="1"/>
  <pageMargins left="0.75" right="0.75" top="1" bottom="1" header="0.5" footer="0.5"/>
  <pageSetup orientation="portrait" blackAndWhite="1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Cochran, James</cp:lastModifiedBy>
  <cp:lastPrinted>2004-04-25T21:24:45Z</cp:lastPrinted>
  <dcterms:created xsi:type="dcterms:W3CDTF">2002-12-08T21:59:37Z</dcterms:created>
  <dcterms:modified xsi:type="dcterms:W3CDTF">2023-04-01T00:33:12Z</dcterms:modified>
</cp:coreProperties>
</file>