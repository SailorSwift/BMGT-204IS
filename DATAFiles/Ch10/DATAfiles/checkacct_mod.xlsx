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0 Inference Two Populations  - Ohlmann\DATAfiles\"/>
    </mc:Choice>
  </mc:AlternateContent>
  <xr:revisionPtr revIDLastSave="0" documentId="13_ncr:1_{30525E21-B6D9-4F1B-924B-62FBBFCA45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  <sheet name="Template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5" l="1"/>
  <c r="E7" i="5"/>
  <c r="F6" i="5" l="1"/>
  <c r="F5" i="5"/>
  <c r="E6" i="5"/>
  <c r="E5" i="5"/>
  <c r="E9" i="5" s="1"/>
  <c r="E10" i="5" s="1"/>
  <c r="E13" i="5"/>
  <c r="A14" i="1"/>
  <c r="E18" i="5" l="1"/>
  <c r="E14" i="5"/>
  <c r="E15" i="5" s="1"/>
  <c r="E16" i="5" l="1"/>
  <c r="E20" i="5" s="1"/>
  <c r="E19" i="5" l="1"/>
</calcChain>
</file>

<file path=xl/sharedStrings.xml><?xml version="1.0" encoding="utf-8"?>
<sst xmlns="http://schemas.openxmlformats.org/spreadsheetml/2006/main" count="21" uniqueCount="17">
  <si>
    <t>Cherry Grove</t>
  </si>
  <si>
    <t>Beechmont</t>
  </si>
  <si>
    <t>Interval Estimate of Difference in Population Means:</t>
  </si>
  <si>
    <t>Sample Size</t>
  </si>
  <si>
    <t>Sample Mean</t>
  </si>
  <si>
    <t>Sample Standard Deviation</t>
  </si>
  <si>
    <t>Estimate of Variance</t>
  </si>
  <si>
    <t>Standard Error</t>
  </si>
  <si>
    <t>Confidence Coefficient</t>
  </si>
  <si>
    <t>Level of Significance</t>
  </si>
  <si>
    <t>Degrees of Freedom</t>
  </si>
  <si>
    <t>Margin of Error</t>
  </si>
  <si>
    <t>Point Estimate of Difference</t>
  </si>
  <si>
    <t>Lower Limit</t>
  </si>
  <si>
    <t>Upper Limit</t>
  </si>
  <si>
    <r>
      <t xml:space="preserve">                     </t>
    </r>
    <r>
      <rPr>
        <b/>
        <i/>
        <sz val="11"/>
        <color indexed="10"/>
        <rFont val="Calibri"/>
        <family val="2"/>
        <scheme val="minor"/>
      </rPr>
      <t>σ</t>
    </r>
    <r>
      <rPr>
        <b/>
        <vertAlign val="subscript"/>
        <sz val="11"/>
        <color indexed="10"/>
        <rFont val="Calibri"/>
        <family val="2"/>
        <scheme val="minor"/>
      </rPr>
      <t>1</t>
    </r>
    <r>
      <rPr>
        <b/>
        <sz val="11"/>
        <color indexed="10"/>
        <rFont val="Calibri"/>
        <family val="2"/>
        <scheme val="minor"/>
      </rPr>
      <t xml:space="preserve"> and </t>
    </r>
    <r>
      <rPr>
        <b/>
        <i/>
        <sz val="11"/>
        <color indexed="10"/>
        <rFont val="Calibri"/>
        <family val="2"/>
        <scheme val="minor"/>
      </rPr>
      <t>σ</t>
    </r>
    <r>
      <rPr>
        <b/>
        <vertAlign val="subscript"/>
        <sz val="11"/>
        <color indexed="10"/>
        <rFont val="Calibri"/>
        <family val="2"/>
        <scheme val="minor"/>
      </rPr>
      <t>2</t>
    </r>
    <r>
      <rPr>
        <b/>
        <sz val="11"/>
        <color indexed="10"/>
        <rFont val="Calibri"/>
        <family val="2"/>
        <scheme val="minor"/>
      </rPr>
      <t xml:space="preserve">  Unknown Case</t>
    </r>
  </si>
  <si>
    <r>
      <t>t</t>
    </r>
    <r>
      <rPr>
        <b/>
        <sz val="11"/>
        <rFont val="Calibri"/>
        <family val="2"/>
        <scheme val="minor"/>
      </rPr>
      <t xml:space="preserve"> Value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</si>
</sst>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7" x14ac:knownFonts="1">
    <font>
      <sz val="11"/>
      <name val="Calibri"/>
      <family val="2"/>
      <scheme val="minor"/>
    </font>
    <font>
      <sz val="8"/>
      <name val="Times New Roman"/>
      <family val="1"/>
    </font>
    <font>
      <b/>
      <sz val="11"/>
      <name val="Calibri"/>
      <family val="2"/>
      <scheme val="minor"/>
    </font>
    <font>
      <b/>
      <sz val="11"/>
      <color indexed="10"/>
      <name val="Calibri"/>
      <family val="2"/>
      <scheme val="minor"/>
    </font>
    <font>
      <b/>
      <i/>
      <sz val="11"/>
      <color indexed="10"/>
      <name val="Calibri"/>
      <family val="2"/>
      <scheme val="minor"/>
    </font>
    <font>
      <b/>
      <vertAlign val="subscript"/>
      <sz val="11"/>
      <color indexed="10"/>
      <name val="Calibri"/>
      <family val="2"/>
      <scheme val="minor"/>
    </font>
    <font>
      <b/>
      <i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" fontId="0" fillId="0" borderId="0" xfId="0" applyNumberFormat="1" applyAlignment="1">
      <alignment horizontal="right"/>
    </xf>
    <xf numFmtId="1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2" fillId="0" borderId="0" xfId="0" applyNumberFormat="1" applyFont="1" applyAlignment="1">
      <alignment horizontal="center"/>
    </xf>
    <xf numFmtId="1" fontId="2" fillId="0" borderId="0" xfId="0" applyNumberFormat="1" applyFont="1" applyFill="1" applyAlignment="1">
      <alignment horizontal="center"/>
    </xf>
    <xf numFmtId="0" fontId="0" fillId="0" borderId="0" xfId="0" applyFill="1"/>
    <xf numFmtId="0" fontId="3" fillId="0" borderId="0" xfId="0" applyFont="1" applyFill="1"/>
    <xf numFmtId="1" fontId="0" fillId="0" borderId="0" xfId="0" applyNumberFormat="1" applyFill="1" applyAlignment="1">
      <alignment horizontal="right"/>
    </xf>
    <xf numFmtId="0" fontId="2" fillId="0" borderId="0" xfId="0" applyFont="1" applyFill="1"/>
    <xf numFmtId="1" fontId="0" fillId="0" borderId="0" xfId="0" applyNumberFormat="1" applyFill="1"/>
    <xf numFmtId="166" fontId="0" fillId="0" borderId="0" xfId="0" applyNumberFormat="1" applyFill="1"/>
    <xf numFmtId="165" fontId="0" fillId="0" borderId="0" xfId="0" applyNumberFormat="1" applyFill="1"/>
    <xf numFmtId="0" fontId="6" fillId="0" borderId="0" xfId="0" applyFont="1" applyFill="1"/>
    <xf numFmtId="164" fontId="0" fillId="0" borderId="0" xfId="0" applyNumberFormat="1" applyFill="1"/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9" defaultPivotStyle="PivotStyleLight16"/>
  <colors>
    <mruColors>
      <color rgb="FFC8FAC8"/>
      <color rgb="FFCCC0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F6" sqref="F6"/>
    </sheetView>
  </sheetViews>
  <sheetFormatPr defaultRowHeight="15" x14ac:dyDescent="0.25"/>
  <cols>
    <col min="1" max="1" width="12.7109375" style="3" bestFit="1" customWidth="1"/>
    <col min="2" max="2" width="10.28515625" style="3" customWidth="1"/>
  </cols>
  <sheetData>
    <row r="1" spans="1:5" x14ac:dyDescent="0.25">
      <c r="A1" s="5" t="s">
        <v>0</v>
      </c>
      <c r="B1" s="5" t="s">
        <v>1</v>
      </c>
    </row>
    <row r="2" spans="1:5" x14ac:dyDescent="0.25">
      <c r="A2" s="1">
        <v>1263</v>
      </c>
      <c r="B2" s="1">
        <v>996.7</v>
      </c>
      <c r="D2" s="2"/>
      <c r="E2" s="2"/>
    </row>
    <row r="3" spans="1:5" x14ac:dyDescent="0.25">
      <c r="A3" s="1">
        <v>897</v>
      </c>
      <c r="B3" s="1">
        <v>897</v>
      </c>
    </row>
    <row r="4" spans="1:5" x14ac:dyDescent="0.25">
      <c r="A4" s="1">
        <v>849</v>
      </c>
      <c r="B4" s="1">
        <v>912</v>
      </c>
    </row>
    <row r="5" spans="1:5" x14ac:dyDescent="0.25">
      <c r="A5" s="1">
        <v>891</v>
      </c>
      <c r="B5" s="1">
        <v>894.9</v>
      </c>
    </row>
    <row r="6" spans="1:5" x14ac:dyDescent="0.25">
      <c r="A6" s="1">
        <v>964</v>
      </c>
      <c r="B6" s="1">
        <v>785</v>
      </c>
    </row>
    <row r="7" spans="1:5" x14ac:dyDescent="0.25">
      <c r="A7" s="1">
        <v>810</v>
      </c>
      <c r="B7" s="1">
        <v>750.7</v>
      </c>
    </row>
    <row r="8" spans="1:5" x14ac:dyDescent="0.25">
      <c r="A8" s="1">
        <v>877</v>
      </c>
      <c r="B8" s="1">
        <v>882.2</v>
      </c>
    </row>
    <row r="9" spans="1:5" x14ac:dyDescent="0.25">
      <c r="A9" s="1">
        <v>899</v>
      </c>
      <c r="B9" s="1">
        <v>1110</v>
      </c>
    </row>
    <row r="10" spans="1:5" x14ac:dyDescent="0.25">
      <c r="A10" s="1">
        <v>847</v>
      </c>
      <c r="B10" s="1">
        <v>907.2</v>
      </c>
    </row>
    <row r="11" spans="1:5" x14ac:dyDescent="0.25">
      <c r="A11" s="1">
        <v>1070</v>
      </c>
      <c r="B11" s="1">
        <v>1226.0999999999999</v>
      </c>
    </row>
    <row r="12" spans="1:5" x14ac:dyDescent="0.25">
      <c r="A12" s="1">
        <v>1252</v>
      </c>
      <c r="B12" s="1">
        <v>762.1</v>
      </c>
    </row>
    <row r="13" spans="1:5" x14ac:dyDescent="0.25">
      <c r="A13" s="1">
        <v>920</v>
      </c>
      <c r="B13" s="1">
        <v>835.5</v>
      </c>
    </row>
    <row r="14" spans="1:5" x14ac:dyDescent="0.25">
      <c r="A14" s="1">
        <f>1256</f>
        <v>1256</v>
      </c>
      <c r="B14" s="1">
        <v>1048</v>
      </c>
    </row>
    <row r="15" spans="1:5" x14ac:dyDescent="0.25">
      <c r="A15" s="1">
        <v>1196</v>
      </c>
      <c r="B15" s="1">
        <v>773.8</v>
      </c>
    </row>
    <row r="16" spans="1:5" x14ac:dyDescent="0.25">
      <c r="A16" s="1">
        <v>1150</v>
      </c>
      <c r="B16" s="1">
        <v>807</v>
      </c>
    </row>
    <row r="17" spans="1:3" x14ac:dyDescent="0.25">
      <c r="A17" s="1">
        <v>1024</v>
      </c>
      <c r="B17" s="1">
        <v>972</v>
      </c>
    </row>
    <row r="18" spans="1:3" x14ac:dyDescent="0.25">
      <c r="A18" s="1">
        <v>1016</v>
      </c>
      <c r="B18" s="1">
        <v>980</v>
      </c>
    </row>
    <row r="19" spans="1:3" x14ac:dyDescent="0.25">
      <c r="A19" s="1">
        <v>1126</v>
      </c>
      <c r="B19" s="1">
        <v>876.6</v>
      </c>
    </row>
    <row r="20" spans="1:3" x14ac:dyDescent="0.25">
      <c r="A20" s="1">
        <v>1289</v>
      </c>
      <c r="B20" s="1">
        <v>943</v>
      </c>
    </row>
    <row r="21" spans="1:3" x14ac:dyDescent="0.25">
      <c r="A21" s="1">
        <v>1220</v>
      </c>
      <c r="B21" s="1">
        <v>992.7</v>
      </c>
    </row>
    <row r="22" spans="1:3" x14ac:dyDescent="0.25">
      <c r="A22" s="1">
        <v>912</v>
      </c>
      <c r="B22" s="1">
        <v>704.3</v>
      </c>
    </row>
    <row r="23" spans="1:3" x14ac:dyDescent="0.25">
      <c r="A23" s="1">
        <v>1026</v>
      </c>
      <c r="B23" s="1">
        <v>962.9</v>
      </c>
    </row>
    <row r="24" spans="1:3" x14ac:dyDescent="0.25">
      <c r="A24" s="1">
        <v>786</v>
      </c>
    </row>
    <row r="25" spans="1:3" x14ac:dyDescent="0.25">
      <c r="A25" s="1">
        <v>989</v>
      </c>
    </row>
    <row r="26" spans="1:3" x14ac:dyDescent="0.25">
      <c r="A26" s="1">
        <v>1133</v>
      </c>
    </row>
    <row r="27" spans="1:3" x14ac:dyDescent="0.25">
      <c r="A27" s="1">
        <v>990</v>
      </c>
    </row>
    <row r="28" spans="1:3" x14ac:dyDescent="0.25">
      <c r="A28" s="1">
        <v>999</v>
      </c>
    </row>
    <row r="29" spans="1:3" x14ac:dyDescent="0.25">
      <c r="A29" s="1">
        <v>1049</v>
      </c>
    </row>
    <row r="30" spans="1:3" x14ac:dyDescent="0.25">
      <c r="A30" s="4"/>
      <c r="C30" s="2"/>
    </row>
    <row r="31" spans="1:3" x14ac:dyDescent="0.25">
      <c r="A31" s="4"/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1"/>
  <sheetViews>
    <sheetView workbookViewId="0">
      <selection activeCell="G23" sqref="G23"/>
    </sheetView>
  </sheetViews>
  <sheetFormatPr defaultRowHeight="15" x14ac:dyDescent="0.25"/>
  <cols>
    <col min="1" max="1" width="12.85546875" style="16" customWidth="1"/>
    <col min="2" max="2" width="10.28515625" style="16" customWidth="1"/>
    <col min="3" max="3" width="4.5703125" style="7" customWidth="1"/>
    <col min="4" max="4" width="25.42578125" style="7" customWidth="1"/>
    <col min="5" max="5" width="16.5703125" style="7" customWidth="1"/>
    <col min="6" max="6" width="10.28515625" style="7" customWidth="1"/>
    <col min="7" max="16384" width="9.140625" style="7"/>
  </cols>
  <sheetData>
    <row r="1" spans="1:6" x14ac:dyDescent="0.25">
      <c r="A1" s="6" t="s">
        <v>0</v>
      </c>
      <c r="B1" s="6" t="s">
        <v>1</v>
      </c>
      <c r="D1" s="8" t="s">
        <v>2</v>
      </c>
    </row>
    <row r="2" spans="1:6" ht="18" x14ac:dyDescent="0.35">
      <c r="A2" s="9">
        <v>1263</v>
      </c>
      <c r="B2" s="9">
        <v>996.7</v>
      </c>
      <c r="D2" s="8" t="s">
        <v>15</v>
      </c>
    </row>
    <row r="3" spans="1:6" x14ac:dyDescent="0.25">
      <c r="A3" s="9">
        <v>897</v>
      </c>
      <c r="B3" s="9">
        <v>897</v>
      </c>
    </row>
    <row r="4" spans="1:6" x14ac:dyDescent="0.25">
      <c r="A4" s="9">
        <v>849</v>
      </c>
      <c r="B4" s="9">
        <v>912</v>
      </c>
      <c r="E4" s="10" t="s">
        <v>0</v>
      </c>
      <c r="F4" s="10" t="s">
        <v>1</v>
      </c>
    </row>
    <row r="5" spans="1:6" x14ac:dyDescent="0.25">
      <c r="A5" s="9">
        <v>891</v>
      </c>
      <c r="B5" s="9">
        <v>894.9</v>
      </c>
      <c r="D5" s="10" t="s">
        <v>3</v>
      </c>
      <c r="E5" s="7">
        <f>COUNT(A:A)</f>
        <v>28</v>
      </c>
      <c r="F5" s="7">
        <f>COUNT(B:B)</f>
        <v>22</v>
      </c>
    </row>
    <row r="6" spans="1:6" x14ac:dyDescent="0.25">
      <c r="A6" s="9">
        <v>964</v>
      </c>
      <c r="B6" s="9">
        <v>785</v>
      </c>
      <c r="D6" s="10" t="s">
        <v>4</v>
      </c>
      <c r="E6" s="11">
        <f>AVERAGE(A:A)</f>
        <v>1025</v>
      </c>
      <c r="F6" s="11">
        <f>AVERAGE(B:B)</f>
        <v>909.98636363636365</v>
      </c>
    </row>
    <row r="7" spans="1:6" x14ac:dyDescent="0.25">
      <c r="A7" s="9">
        <v>810</v>
      </c>
      <c r="B7" s="9">
        <v>750.7</v>
      </c>
      <c r="D7" s="10" t="s">
        <v>5</v>
      </c>
      <c r="E7" s="11">
        <f>_xlfn.STDEV.S(A:A)</f>
        <v>150.00098765106947</v>
      </c>
      <c r="F7" s="11">
        <f>_xlfn.STDEV.S(B:B)</f>
        <v>125.00402391791616</v>
      </c>
    </row>
    <row r="8" spans="1:6" x14ac:dyDescent="0.25">
      <c r="A8" s="9">
        <v>877</v>
      </c>
      <c r="B8" s="9">
        <v>882.2</v>
      </c>
    </row>
    <row r="9" spans="1:6" x14ac:dyDescent="0.25">
      <c r="A9" s="9">
        <v>899</v>
      </c>
      <c r="B9" s="9">
        <v>1110</v>
      </c>
      <c r="D9" s="10" t="s">
        <v>6</v>
      </c>
      <c r="E9" s="12">
        <f>E7^2/E5+F7^2/F5</f>
        <v>1513.8550103852358</v>
      </c>
    </row>
    <row r="10" spans="1:6" x14ac:dyDescent="0.25">
      <c r="A10" s="9">
        <v>847</v>
      </c>
      <c r="B10" s="9">
        <v>907.2</v>
      </c>
      <c r="D10" s="10" t="s">
        <v>7</v>
      </c>
      <c r="E10" s="12">
        <f>SQRT(E9)</f>
        <v>38.908289738630707</v>
      </c>
    </row>
    <row r="11" spans="1:6" x14ac:dyDescent="0.25">
      <c r="A11" s="9">
        <v>1070</v>
      </c>
      <c r="B11" s="9">
        <v>1226.0999999999999</v>
      </c>
    </row>
    <row r="12" spans="1:6" x14ac:dyDescent="0.25">
      <c r="A12" s="9">
        <v>1252</v>
      </c>
      <c r="B12" s="9">
        <v>762.1</v>
      </c>
      <c r="D12" s="10" t="s">
        <v>8</v>
      </c>
      <c r="E12" s="7">
        <v>0.95</v>
      </c>
    </row>
    <row r="13" spans="1:6" x14ac:dyDescent="0.25">
      <c r="A13" s="9">
        <v>920</v>
      </c>
      <c r="B13" s="9">
        <v>835.5</v>
      </c>
      <c r="D13" s="10" t="s">
        <v>9</v>
      </c>
      <c r="E13" s="7">
        <f>1-E12</f>
        <v>5.0000000000000044E-2</v>
      </c>
    </row>
    <row r="14" spans="1:6" x14ac:dyDescent="0.25">
      <c r="A14" s="9">
        <v>1256</v>
      </c>
      <c r="B14" s="9">
        <v>1048</v>
      </c>
      <c r="D14" s="10" t="s">
        <v>10</v>
      </c>
      <c r="E14" s="13">
        <f>E9^2/((1/(E5-1))*(E7^2/E5)^2+(1/(F5-1)*(F7^2/F5)^2))</f>
        <v>47.805020632402858</v>
      </c>
    </row>
    <row r="15" spans="1:6" x14ac:dyDescent="0.25">
      <c r="A15" s="9">
        <v>1196</v>
      </c>
      <c r="B15" s="9">
        <v>773.8</v>
      </c>
      <c r="D15" s="14" t="s">
        <v>16</v>
      </c>
      <c r="E15" s="15">
        <f>_xlfn.T.INV.2T(E13,E14)</f>
        <v>2.0117405137297641</v>
      </c>
    </row>
    <row r="16" spans="1:6" x14ac:dyDescent="0.25">
      <c r="A16" s="9">
        <v>1150</v>
      </c>
      <c r="B16" s="9">
        <v>807</v>
      </c>
      <c r="D16" s="10" t="s">
        <v>11</v>
      </c>
      <c r="E16" s="11">
        <f>E15*E10</f>
        <v>78.273382787139454</v>
      </c>
    </row>
    <row r="17" spans="1:5" x14ac:dyDescent="0.25">
      <c r="A17" s="9">
        <v>1024</v>
      </c>
      <c r="B17" s="9">
        <v>972</v>
      </c>
    </row>
    <row r="18" spans="1:5" x14ac:dyDescent="0.25">
      <c r="A18" s="9">
        <v>1016</v>
      </c>
      <c r="B18" s="9">
        <v>980</v>
      </c>
      <c r="D18" s="10" t="s">
        <v>12</v>
      </c>
      <c r="E18" s="11">
        <f>E6-F6</f>
        <v>115.01363636363635</v>
      </c>
    </row>
    <row r="19" spans="1:5" x14ac:dyDescent="0.25">
      <c r="A19" s="9">
        <v>1126</v>
      </c>
      <c r="B19" s="9">
        <v>876.6</v>
      </c>
      <c r="D19" s="10" t="s">
        <v>13</v>
      </c>
      <c r="E19" s="11">
        <f>E18-E16</f>
        <v>36.740253576496897</v>
      </c>
    </row>
    <row r="20" spans="1:5" x14ac:dyDescent="0.25">
      <c r="A20" s="9">
        <v>1289</v>
      </c>
      <c r="B20" s="9">
        <v>943</v>
      </c>
      <c r="D20" s="10" t="s">
        <v>14</v>
      </c>
      <c r="E20" s="11">
        <f>E18+E16</f>
        <v>193.28701915077579</v>
      </c>
    </row>
    <row r="21" spans="1:5" x14ac:dyDescent="0.25">
      <c r="A21" s="9">
        <v>1220</v>
      </c>
      <c r="B21" s="9">
        <v>992.7</v>
      </c>
    </row>
    <row r="22" spans="1:5" x14ac:dyDescent="0.25">
      <c r="A22" s="9">
        <v>912</v>
      </c>
      <c r="B22" s="9">
        <v>704.3</v>
      </c>
    </row>
    <row r="23" spans="1:5" x14ac:dyDescent="0.25">
      <c r="A23" s="9">
        <v>1026</v>
      </c>
      <c r="B23" s="9">
        <v>962.9</v>
      </c>
    </row>
    <row r="24" spans="1:5" x14ac:dyDescent="0.25">
      <c r="A24" s="9">
        <v>786</v>
      </c>
    </row>
    <row r="25" spans="1:5" x14ac:dyDescent="0.25">
      <c r="A25" s="9">
        <v>989</v>
      </c>
    </row>
    <row r="26" spans="1:5" x14ac:dyDescent="0.25">
      <c r="A26" s="9">
        <v>1133</v>
      </c>
    </row>
    <row r="27" spans="1:5" x14ac:dyDescent="0.25">
      <c r="A27" s="9">
        <v>990</v>
      </c>
    </row>
    <row r="28" spans="1:5" x14ac:dyDescent="0.25">
      <c r="A28" s="9">
        <v>999</v>
      </c>
    </row>
    <row r="29" spans="1:5" x14ac:dyDescent="0.25">
      <c r="A29" s="9">
        <v>1049</v>
      </c>
    </row>
    <row r="30" spans="1:5" x14ac:dyDescent="0.25">
      <c r="A30" s="17"/>
      <c r="C30" s="11"/>
    </row>
    <row r="31" spans="1:5" x14ac:dyDescent="0.25">
      <c r="A31" s="17"/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R. Anderson</dc:creator>
  <cp:lastModifiedBy>Ohlmann, Jeffrey W</cp:lastModifiedBy>
  <dcterms:created xsi:type="dcterms:W3CDTF">2003-02-12T22:34:13Z</dcterms:created>
  <dcterms:modified xsi:type="dcterms:W3CDTF">2023-03-25T19:30:30Z</dcterms:modified>
</cp:coreProperties>
</file>