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8E80742E-324A-4359-8087-1CB91F616048}" xr6:coauthVersionLast="47" xr6:coauthVersionMax="47" xr10:uidLastSave="{00000000-0000-0000-0000-000000000000}"/>
  <bookViews>
    <workbookView xWindow="-120" yWindow="-120" windowWidth="29040" windowHeight="15720" tabRatio="895" activeTab="1" xr2:uid="{00000000-000D-0000-FFFF-FFFF00000000}"/>
  </bookViews>
  <sheets>
    <sheet name="Data" sheetId="15" r:id="rId1"/>
    <sheet name="Template" sheetId="16" r:id="rId2"/>
  </sheets>
  <definedNames>
    <definedName name="_xlnm.Print_Area" localSheetId="0">Data!$A$1:$C$51</definedName>
    <definedName name="_xlnm.Print_Area" localSheetId="1">Template!$A$1:$G$51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6" l="1"/>
  <c r="E6" i="16"/>
  <c r="E16" i="16" s="1"/>
  <c r="F5" i="16"/>
  <c r="E5" i="16"/>
  <c r="E9" i="16" s="1"/>
  <c r="E12" i="16"/>
  <c r="E13" i="16" s="1"/>
  <c r="E14" i="16" s="1"/>
  <c r="E18" i="16" s="1"/>
  <c r="E17" i="16" l="1"/>
</calcChain>
</file>

<file path=xl/sharedStrings.xml><?xml version="1.0" encoding="utf-8"?>
<sst xmlns="http://schemas.openxmlformats.org/spreadsheetml/2006/main" count="19" uniqueCount="15">
  <si>
    <t>Inner City</t>
  </si>
  <si>
    <t>Suburban</t>
  </si>
  <si>
    <t>Standard Error</t>
  </si>
  <si>
    <t>Sample Size</t>
  </si>
  <si>
    <t>Confidence Coefficient</t>
  </si>
  <si>
    <t>Point Estimate of Difference</t>
  </si>
  <si>
    <t>Margin of Error</t>
  </si>
  <si>
    <t>Lower Limit</t>
  </si>
  <si>
    <t>Upper Limit</t>
  </si>
  <si>
    <t>Sample Mean</t>
  </si>
  <si>
    <t>Interval Estimate of Difference in Population Means:</t>
  </si>
  <si>
    <t>Level of Significance</t>
  </si>
  <si>
    <t>Population Standard Deviation</t>
  </si>
  <si>
    <r>
      <t xml:space="preserve">  </t>
    </r>
    <r>
      <rPr>
        <b/>
        <i/>
        <sz val="11"/>
        <color indexed="10"/>
        <rFont val="Calibri"/>
        <family val="2"/>
        <scheme val="minor"/>
      </rPr>
      <t>σ</t>
    </r>
    <r>
      <rPr>
        <b/>
        <vertAlign val="subscript"/>
        <sz val="11"/>
        <color indexed="10"/>
        <rFont val="Calibri"/>
        <family val="2"/>
        <scheme val="minor"/>
      </rPr>
      <t xml:space="preserve">1 </t>
    </r>
    <r>
      <rPr>
        <b/>
        <sz val="11"/>
        <color indexed="10"/>
        <rFont val="Calibri"/>
        <family val="2"/>
        <scheme val="minor"/>
      </rPr>
      <t xml:space="preserve">and </t>
    </r>
    <r>
      <rPr>
        <b/>
        <i/>
        <sz val="11"/>
        <color indexed="10"/>
        <rFont val="Calibri"/>
        <family val="2"/>
        <scheme val="minor"/>
      </rPr>
      <t>σ</t>
    </r>
    <r>
      <rPr>
        <b/>
        <vertAlign val="subscript"/>
        <sz val="11"/>
        <color indexed="10"/>
        <rFont val="Calibri"/>
        <family val="2"/>
        <scheme val="minor"/>
      </rPr>
      <t xml:space="preserve">2 </t>
    </r>
    <r>
      <rPr>
        <b/>
        <sz val="11"/>
        <color indexed="10"/>
        <rFont val="Calibri"/>
        <family val="2"/>
        <scheme val="minor"/>
      </rPr>
      <t>Known Case</t>
    </r>
  </si>
  <si>
    <r>
      <t>z</t>
    </r>
    <r>
      <rPr>
        <b/>
        <sz val="11"/>
        <rFont val="Calibri"/>
        <family val="2"/>
        <scheme val="minor"/>
      </rPr>
      <t xml:space="preserve">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</si>
</sst>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i/>
      <sz val="11"/>
      <color indexed="10"/>
      <name val="Calibri"/>
      <family val="2"/>
      <scheme val="minor"/>
    </font>
    <font>
      <b/>
      <vertAlign val="subscript"/>
      <sz val="11"/>
      <color indexed="10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Fill="1"/>
    <xf numFmtId="2" fontId="0" fillId="0" borderId="0" xfId="0" applyNumberFormat="1" applyFont="1" applyFill="1"/>
    <xf numFmtId="164" fontId="0" fillId="0" borderId="0" xfId="0" applyNumberFormat="1" applyFont="1" applyFill="1"/>
    <xf numFmtId="0" fontId="0" fillId="0" borderId="0" xfId="0" applyFont="1" applyFill="1" applyAlignment="1">
      <alignment horizontal="right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right"/>
    </xf>
    <xf numFmtId="0" fontId="5" fillId="0" borderId="0" xfId="0" applyFont="1" applyFill="1" applyAlignment="1">
      <alignment horizontal="right"/>
    </xf>
  </cellXfs>
  <cellStyles count="1">
    <cellStyle name="Normal" xfId="0" builtinId="0" customBuiltin="1"/>
  </cellStyles>
  <dxfs count="0"/>
  <tableStyles count="0" defaultTableStyle="TableStyleMedium9" defaultPivotStyle="PivotStyleLight16"/>
  <colors>
    <mruColors>
      <color rgb="FFC8FAC8"/>
      <color rgb="FFC8B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0"/>
  <sheetViews>
    <sheetView workbookViewId="0">
      <selection activeCell="E8" sqref="E8"/>
    </sheetView>
  </sheetViews>
  <sheetFormatPr defaultRowHeight="15.75" x14ac:dyDescent="0.25"/>
  <cols>
    <col min="1" max="1" width="10.7109375" style="1" bestFit="1" customWidth="1"/>
    <col min="2" max="2" width="8.85546875" style="1" customWidth="1"/>
    <col min="3" max="3" width="9.140625" style="1"/>
    <col min="4" max="4" width="24.140625" style="1" customWidth="1"/>
    <col min="5" max="5" width="9.140625" style="1"/>
    <col min="6" max="6" width="12" style="1" customWidth="1"/>
    <col min="7" max="16384" width="9.140625" style="1"/>
  </cols>
  <sheetData>
    <row r="1" spans="1:5" ht="15" x14ac:dyDescent="0.25">
      <c r="A1" s="2" t="s">
        <v>0</v>
      </c>
      <c r="B1" s="2" t="s">
        <v>1</v>
      </c>
      <c r="E1" s="2"/>
    </row>
    <row r="2" spans="1:5" ht="15" x14ac:dyDescent="0.25">
      <c r="A2" s="1">
        <v>38</v>
      </c>
      <c r="B2" s="1">
        <v>29</v>
      </c>
    </row>
    <row r="3" spans="1:5" ht="15" x14ac:dyDescent="0.25">
      <c r="A3" s="1">
        <v>46</v>
      </c>
      <c r="B3" s="1">
        <v>35</v>
      </c>
    </row>
    <row r="4" spans="1:5" ht="15" x14ac:dyDescent="0.25">
      <c r="A4" s="1">
        <v>32</v>
      </c>
      <c r="B4" s="1">
        <v>39</v>
      </c>
    </row>
    <row r="5" spans="1:5" ht="15" x14ac:dyDescent="0.25">
      <c r="A5" s="1">
        <v>23</v>
      </c>
      <c r="B5" s="1">
        <v>10</v>
      </c>
    </row>
    <row r="6" spans="1:5" ht="15" x14ac:dyDescent="0.25">
      <c r="A6" s="1">
        <v>39</v>
      </c>
      <c r="B6" s="1">
        <v>37</v>
      </c>
    </row>
    <row r="7" spans="1:5" ht="15" x14ac:dyDescent="0.25">
      <c r="A7" s="1">
        <v>40</v>
      </c>
      <c r="B7" s="1">
        <v>52</v>
      </c>
    </row>
    <row r="8" spans="1:5" ht="15" x14ac:dyDescent="0.25">
      <c r="A8" s="1">
        <v>35</v>
      </c>
      <c r="B8" s="1">
        <v>40</v>
      </c>
    </row>
    <row r="9" spans="1:5" ht="15" x14ac:dyDescent="0.25">
      <c r="A9" s="1">
        <v>35</v>
      </c>
      <c r="B9" s="1">
        <v>37</v>
      </c>
    </row>
    <row r="10" spans="1:5" ht="15" x14ac:dyDescent="0.25">
      <c r="A10" s="1">
        <v>36</v>
      </c>
      <c r="B10" s="1">
        <v>43</v>
      </c>
    </row>
    <row r="11" spans="1:5" ht="15" x14ac:dyDescent="0.25">
      <c r="A11" s="1">
        <v>41</v>
      </c>
      <c r="B11" s="1">
        <v>38</v>
      </c>
    </row>
    <row r="12" spans="1:5" ht="15" x14ac:dyDescent="0.25">
      <c r="A12" s="1">
        <v>32</v>
      </c>
      <c r="B12" s="1">
        <v>28</v>
      </c>
    </row>
    <row r="13" spans="1:5" ht="15" x14ac:dyDescent="0.25">
      <c r="A13" s="1">
        <v>38</v>
      </c>
      <c r="B13" s="1">
        <v>37</v>
      </c>
    </row>
    <row r="14" spans="1:5" ht="15" x14ac:dyDescent="0.25">
      <c r="A14" s="1">
        <v>44</v>
      </c>
      <c r="B14" s="1">
        <v>51</v>
      </c>
    </row>
    <row r="15" spans="1:5" ht="15" x14ac:dyDescent="0.25">
      <c r="A15" s="1">
        <v>50</v>
      </c>
      <c r="B15" s="1">
        <v>23</v>
      </c>
    </row>
    <row r="16" spans="1:5" ht="15" x14ac:dyDescent="0.25">
      <c r="A16" s="1">
        <v>47</v>
      </c>
      <c r="B16" s="1">
        <v>25</v>
      </c>
    </row>
    <row r="17" spans="1:2" ht="15" x14ac:dyDescent="0.25">
      <c r="A17" s="1">
        <v>59</v>
      </c>
      <c r="B17" s="1">
        <v>37</v>
      </c>
    </row>
    <row r="18" spans="1:2" ht="15" x14ac:dyDescent="0.25">
      <c r="A18" s="1">
        <v>38</v>
      </c>
      <c r="B18" s="1">
        <v>38</v>
      </c>
    </row>
    <row r="19" spans="1:2" ht="15" x14ac:dyDescent="0.25">
      <c r="A19" s="1">
        <v>45</v>
      </c>
      <c r="B19" s="1">
        <v>39</v>
      </c>
    </row>
    <row r="20" spans="1:2" ht="15" x14ac:dyDescent="0.25">
      <c r="A20" s="1">
        <v>47</v>
      </c>
      <c r="B20" s="1">
        <v>28</v>
      </c>
    </row>
    <row r="21" spans="1:2" ht="15" x14ac:dyDescent="0.25">
      <c r="A21" s="1">
        <v>35</v>
      </c>
      <c r="B21" s="1">
        <v>44</v>
      </c>
    </row>
    <row r="22" spans="1:2" ht="15" x14ac:dyDescent="0.25">
      <c r="A22" s="1">
        <v>43</v>
      </c>
      <c r="B22" s="1">
        <v>49</v>
      </c>
    </row>
    <row r="23" spans="1:2" ht="15" x14ac:dyDescent="0.25">
      <c r="A23" s="1">
        <v>29</v>
      </c>
      <c r="B23" s="1">
        <v>50</v>
      </c>
    </row>
    <row r="24" spans="1:2" ht="15" x14ac:dyDescent="0.25">
      <c r="A24" s="1">
        <v>32</v>
      </c>
      <c r="B24" s="1">
        <v>35</v>
      </c>
    </row>
    <row r="25" spans="1:2" ht="15" x14ac:dyDescent="0.25">
      <c r="A25" s="1">
        <v>41</v>
      </c>
      <c r="B25" s="1">
        <v>22</v>
      </c>
    </row>
    <row r="26" spans="1:2" ht="15" x14ac:dyDescent="0.25">
      <c r="A26" s="1">
        <v>44</v>
      </c>
      <c r="B26" s="1">
        <v>17</v>
      </c>
    </row>
    <row r="27" spans="1:2" ht="15" x14ac:dyDescent="0.25">
      <c r="A27" s="1">
        <v>48</v>
      </c>
      <c r="B27" s="1">
        <v>32</v>
      </c>
    </row>
    <row r="28" spans="1:2" ht="15" x14ac:dyDescent="0.25">
      <c r="A28" s="1">
        <v>41</v>
      </c>
      <c r="B28" s="1">
        <v>41</v>
      </c>
    </row>
    <row r="29" spans="1:2" ht="15" x14ac:dyDescent="0.25">
      <c r="A29" s="1">
        <v>56</v>
      </c>
      <c r="B29" s="1">
        <v>36</v>
      </c>
    </row>
    <row r="30" spans="1:2" ht="15" x14ac:dyDescent="0.25">
      <c r="A30" s="1">
        <v>44</v>
      </c>
      <c r="B30" s="1">
        <v>34</v>
      </c>
    </row>
    <row r="31" spans="1:2" ht="15" x14ac:dyDescent="0.25">
      <c r="A31" s="1">
        <v>25</v>
      </c>
      <c r="B31" s="1">
        <v>40</v>
      </c>
    </row>
    <row r="32" spans="1:2" ht="15" x14ac:dyDescent="0.25">
      <c r="A32" s="1">
        <v>32</v>
      </c>
      <c r="B32" s="1">
        <v>35</v>
      </c>
    </row>
    <row r="33" spans="1:2" ht="15" x14ac:dyDescent="0.25">
      <c r="A33" s="1">
        <v>36</v>
      </c>
      <c r="B33" s="1">
        <v>34</v>
      </c>
    </row>
    <row r="34" spans="1:2" ht="15" x14ac:dyDescent="0.25">
      <c r="A34" s="1">
        <v>38</v>
      </c>
      <c r="B34" s="1">
        <v>50</v>
      </c>
    </row>
    <row r="35" spans="1:2" ht="15" x14ac:dyDescent="0.25">
      <c r="A35" s="1">
        <v>25</v>
      </c>
      <c r="B35" s="1">
        <v>37</v>
      </c>
    </row>
    <row r="36" spans="1:2" ht="15" x14ac:dyDescent="0.25">
      <c r="A36" s="1">
        <v>44</v>
      </c>
      <c r="B36" s="1">
        <v>19</v>
      </c>
    </row>
    <row r="37" spans="1:2" ht="15" x14ac:dyDescent="0.25">
      <c r="A37" s="1">
        <v>62</v>
      </c>
      <c r="B37" s="1">
        <v>40</v>
      </c>
    </row>
    <row r="38" spans="1:2" ht="15" x14ac:dyDescent="0.25">
      <c r="B38" s="1">
        <v>28</v>
      </c>
    </row>
    <row r="39" spans="1:2" ht="15" x14ac:dyDescent="0.25">
      <c r="B39" s="1">
        <v>40</v>
      </c>
    </row>
    <row r="40" spans="1:2" ht="15" x14ac:dyDescent="0.25">
      <c r="B40" s="1">
        <v>38</v>
      </c>
    </row>
    <row r="41" spans="1:2" ht="15" x14ac:dyDescent="0.25">
      <c r="B41" s="1">
        <v>36</v>
      </c>
    </row>
    <row r="42" spans="1:2" ht="15" x14ac:dyDescent="0.25">
      <c r="B42" s="1">
        <v>27</v>
      </c>
    </row>
    <row r="43" spans="1:2" ht="15" x14ac:dyDescent="0.25">
      <c r="B43" s="1">
        <v>51</v>
      </c>
    </row>
    <row r="44" spans="1:2" ht="15" x14ac:dyDescent="0.25">
      <c r="B44" s="1">
        <v>36</v>
      </c>
    </row>
    <row r="45" spans="1:2" ht="15" x14ac:dyDescent="0.25">
      <c r="B45" s="1">
        <v>24</v>
      </c>
    </row>
    <row r="46" spans="1:2" ht="15" x14ac:dyDescent="0.25">
      <c r="B46" s="1">
        <v>20</v>
      </c>
    </row>
    <row r="47" spans="1:2" ht="15" x14ac:dyDescent="0.25">
      <c r="B47" s="1">
        <v>19</v>
      </c>
    </row>
    <row r="48" spans="1:2" ht="15" x14ac:dyDescent="0.25">
      <c r="B48" s="1">
        <v>46</v>
      </c>
    </row>
    <row r="49" spans="2:2" ht="15" x14ac:dyDescent="0.25">
      <c r="B49" s="1">
        <v>22</v>
      </c>
    </row>
    <row r="50" spans="2:2" ht="15" x14ac:dyDescent="0.25">
      <c r="B50" s="1">
        <v>47</v>
      </c>
    </row>
  </sheetData>
  <phoneticPr fontId="0" type="noConversion"/>
  <printOptions headings="1" gridLines="1"/>
  <pageMargins left="0.75" right="0.75" top="1" bottom="1" header="0.5" footer="0.5"/>
  <pageSetup scale="87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0"/>
  <sheetViews>
    <sheetView tabSelected="1" workbookViewId="0">
      <selection activeCell="J11" sqref="J11"/>
    </sheetView>
  </sheetViews>
  <sheetFormatPr defaultRowHeight="15.75" x14ac:dyDescent="0.25"/>
  <cols>
    <col min="1" max="1" width="9.42578125" style="3" customWidth="1"/>
    <col min="2" max="2" width="8.85546875" style="3" customWidth="1"/>
    <col min="3" max="3" width="6.28515625" style="3" customWidth="1"/>
    <col min="4" max="4" width="26.28515625" style="3" customWidth="1"/>
    <col min="5" max="5" width="9.42578125" style="3" customWidth="1"/>
    <col min="6" max="6" width="8.85546875" style="3" customWidth="1"/>
    <col min="7" max="7" width="10.42578125" style="3" customWidth="1"/>
    <col min="8" max="8" width="9.140625" style="3"/>
    <col min="9" max="9" width="24.140625" style="3" customWidth="1"/>
    <col min="10" max="10" width="9.140625" style="3"/>
    <col min="11" max="11" width="12" style="3" customWidth="1"/>
    <col min="12" max="16384" width="9.140625" style="3"/>
  </cols>
  <sheetData>
    <row r="1" spans="1:10" ht="15" x14ac:dyDescent="0.25">
      <c r="A1" s="7" t="s">
        <v>0</v>
      </c>
      <c r="B1" s="7" t="s">
        <v>1</v>
      </c>
      <c r="D1" s="8" t="s">
        <v>10</v>
      </c>
      <c r="E1" s="8"/>
      <c r="F1" s="8"/>
      <c r="G1" s="8"/>
      <c r="J1" s="7"/>
    </row>
    <row r="2" spans="1:10" ht="18" x14ac:dyDescent="0.35">
      <c r="A2" s="3">
        <v>38</v>
      </c>
      <c r="B2" s="3">
        <v>29</v>
      </c>
      <c r="D2" s="8" t="s">
        <v>13</v>
      </c>
      <c r="E2" s="8"/>
      <c r="F2" s="8"/>
      <c r="G2" s="8"/>
    </row>
    <row r="3" spans="1:10" ht="15" x14ac:dyDescent="0.25">
      <c r="A3" s="3">
        <v>46</v>
      </c>
      <c r="B3" s="3">
        <v>35</v>
      </c>
    </row>
    <row r="4" spans="1:10" ht="15" x14ac:dyDescent="0.25">
      <c r="A4" s="3">
        <v>32</v>
      </c>
      <c r="B4" s="3">
        <v>39</v>
      </c>
      <c r="E4" s="9" t="s">
        <v>0</v>
      </c>
      <c r="F4" s="9" t="s">
        <v>1</v>
      </c>
    </row>
    <row r="5" spans="1:10" ht="15" x14ac:dyDescent="0.25">
      <c r="A5" s="3">
        <v>23</v>
      </c>
      <c r="B5" s="3">
        <v>10</v>
      </c>
      <c r="D5" s="10" t="s">
        <v>3</v>
      </c>
      <c r="E5" s="3">
        <f>COUNT(A:A)</f>
        <v>36</v>
      </c>
      <c r="F5" s="3">
        <f>COUNT(B:B)</f>
        <v>49</v>
      </c>
    </row>
    <row r="6" spans="1:10" ht="15" x14ac:dyDescent="0.25">
      <c r="A6" s="3">
        <v>39</v>
      </c>
      <c r="B6" s="3">
        <v>37</v>
      </c>
      <c r="D6" s="10" t="s">
        <v>9</v>
      </c>
      <c r="E6" s="3">
        <f>AVERAGE(A:A)</f>
        <v>40</v>
      </c>
      <c r="F6" s="3">
        <f>AVERAGE(B:B)</f>
        <v>35</v>
      </c>
    </row>
    <row r="7" spans="1:10" ht="15" x14ac:dyDescent="0.25">
      <c r="A7" s="3">
        <v>40</v>
      </c>
      <c r="B7" s="3">
        <v>52</v>
      </c>
    </row>
    <row r="8" spans="1:10" ht="15" x14ac:dyDescent="0.25">
      <c r="A8" s="3">
        <v>35</v>
      </c>
      <c r="B8" s="3">
        <v>40</v>
      </c>
      <c r="D8" s="10" t="s">
        <v>12</v>
      </c>
      <c r="E8" s="3">
        <v>9</v>
      </c>
      <c r="F8" s="3">
        <v>10</v>
      </c>
    </row>
    <row r="9" spans="1:10" ht="15" x14ac:dyDescent="0.25">
      <c r="A9" s="3">
        <v>35</v>
      </c>
      <c r="B9" s="3">
        <v>37</v>
      </c>
      <c r="D9" s="10" t="s">
        <v>2</v>
      </c>
      <c r="E9" s="4">
        <f>SQRT(E8^2/E5+F8^2/F5)</f>
        <v>2.0714285714285712</v>
      </c>
    </row>
    <row r="10" spans="1:10" ht="15" x14ac:dyDescent="0.25">
      <c r="A10" s="3">
        <v>36</v>
      </c>
      <c r="B10" s="3">
        <v>43</v>
      </c>
    </row>
    <row r="11" spans="1:10" ht="15" x14ac:dyDescent="0.25">
      <c r="A11" s="3">
        <v>41</v>
      </c>
      <c r="B11" s="3">
        <v>38</v>
      </c>
      <c r="D11" s="10" t="s">
        <v>4</v>
      </c>
      <c r="E11" s="3">
        <v>0.95</v>
      </c>
      <c r="I11"/>
    </row>
    <row r="12" spans="1:10" ht="15" x14ac:dyDescent="0.25">
      <c r="A12" s="3">
        <v>32</v>
      </c>
      <c r="B12" s="3">
        <v>28</v>
      </c>
      <c r="D12" s="10" t="s">
        <v>11</v>
      </c>
      <c r="E12" s="3">
        <f>1-E11</f>
        <v>5.0000000000000044E-2</v>
      </c>
    </row>
    <row r="13" spans="1:10" ht="15" x14ac:dyDescent="0.25">
      <c r="A13" s="3">
        <v>38</v>
      </c>
      <c r="B13" s="3">
        <v>37</v>
      </c>
      <c r="D13" s="11" t="s">
        <v>14</v>
      </c>
      <c r="E13" s="5">
        <f>_xlfn.NORM.S.INV(1-E12/2)</f>
        <v>1.9599639845400536</v>
      </c>
    </row>
    <row r="14" spans="1:10" ht="15" x14ac:dyDescent="0.25">
      <c r="A14" s="3">
        <v>44</v>
      </c>
      <c r="B14" s="3">
        <v>51</v>
      </c>
      <c r="D14" s="10" t="s">
        <v>6</v>
      </c>
      <c r="E14" s="4">
        <f>E13*E9</f>
        <v>4.0599253965472535</v>
      </c>
    </row>
    <row r="15" spans="1:10" ht="15" x14ac:dyDescent="0.25">
      <c r="A15" s="3">
        <v>50</v>
      </c>
      <c r="B15" s="3">
        <v>23</v>
      </c>
    </row>
    <row r="16" spans="1:10" ht="15" x14ac:dyDescent="0.25">
      <c r="A16" s="3">
        <v>47</v>
      </c>
      <c r="B16" s="3">
        <v>25</v>
      </c>
      <c r="D16" s="10" t="s">
        <v>5</v>
      </c>
      <c r="E16" s="3">
        <f>E6-F6</f>
        <v>5</v>
      </c>
    </row>
    <row r="17" spans="1:8" ht="15" x14ac:dyDescent="0.25">
      <c r="A17" s="3">
        <v>59</v>
      </c>
      <c r="B17" s="3">
        <v>37</v>
      </c>
      <c r="D17" s="10" t="s">
        <v>7</v>
      </c>
      <c r="E17" s="4">
        <f>E16-E14</f>
        <v>0.94007460345274652</v>
      </c>
    </row>
    <row r="18" spans="1:8" ht="15" x14ac:dyDescent="0.25">
      <c r="A18" s="3">
        <v>38</v>
      </c>
      <c r="B18" s="3">
        <v>38</v>
      </c>
      <c r="D18" s="10" t="s">
        <v>8</v>
      </c>
      <c r="E18" s="4">
        <f>E16+E14</f>
        <v>9.0599253965472535</v>
      </c>
    </row>
    <row r="19" spans="1:8" ht="15" x14ac:dyDescent="0.25">
      <c r="A19" s="3">
        <v>45</v>
      </c>
      <c r="B19" s="3">
        <v>39</v>
      </c>
    </row>
    <row r="20" spans="1:8" ht="15" x14ac:dyDescent="0.25">
      <c r="A20" s="3">
        <v>47</v>
      </c>
      <c r="B20" s="3">
        <v>28</v>
      </c>
    </row>
    <row r="21" spans="1:8" ht="15" x14ac:dyDescent="0.25">
      <c r="A21" s="3">
        <v>35</v>
      </c>
      <c r="B21" s="3">
        <v>44</v>
      </c>
    </row>
    <row r="22" spans="1:8" ht="15" x14ac:dyDescent="0.25">
      <c r="A22" s="3">
        <v>43</v>
      </c>
      <c r="B22" s="3">
        <v>49</v>
      </c>
    </row>
    <row r="23" spans="1:8" ht="15" x14ac:dyDescent="0.25">
      <c r="A23" s="3">
        <v>29</v>
      </c>
      <c r="B23" s="3">
        <v>50</v>
      </c>
      <c r="H23" s="6"/>
    </row>
    <row r="24" spans="1:8" ht="15" x14ac:dyDescent="0.25">
      <c r="A24" s="3">
        <v>32</v>
      </c>
      <c r="B24" s="3">
        <v>35</v>
      </c>
      <c r="H24" s="6"/>
    </row>
    <row r="25" spans="1:8" ht="15" x14ac:dyDescent="0.25">
      <c r="A25" s="3">
        <v>41</v>
      </c>
      <c r="B25" s="3">
        <v>22</v>
      </c>
      <c r="H25" s="6"/>
    </row>
    <row r="26" spans="1:8" ht="15" x14ac:dyDescent="0.25">
      <c r="A26" s="3">
        <v>44</v>
      </c>
      <c r="B26" s="3">
        <v>17</v>
      </c>
      <c r="H26" s="6"/>
    </row>
    <row r="27" spans="1:8" ht="15" x14ac:dyDescent="0.25">
      <c r="A27" s="3">
        <v>48</v>
      </c>
      <c r="B27" s="3">
        <v>32</v>
      </c>
      <c r="H27" s="6"/>
    </row>
    <row r="28" spans="1:8" ht="15" x14ac:dyDescent="0.25">
      <c r="A28" s="3">
        <v>41</v>
      </c>
      <c r="B28" s="3">
        <v>41</v>
      </c>
    </row>
    <row r="29" spans="1:8" ht="15" x14ac:dyDescent="0.25">
      <c r="A29" s="3">
        <v>56</v>
      </c>
      <c r="B29" s="3">
        <v>36</v>
      </c>
    </row>
    <row r="30" spans="1:8" ht="15" x14ac:dyDescent="0.25">
      <c r="A30" s="3">
        <v>44</v>
      </c>
      <c r="B30" s="3">
        <v>34</v>
      </c>
    </row>
    <row r="31" spans="1:8" ht="15" x14ac:dyDescent="0.25">
      <c r="A31" s="3">
        <v>25</v>
      </c>
      <c r="B31" s="3">
        <v>40</v>
      </c>
    </row>
    <row r="32" spans="1:8" ht="15" x14ac:dyDescent="0.25">
      <c r="A32" s="3">
        <v>32</v>
      </c>
      <c r="B32" s="3">
        <v>35</v>
      </c>
    </row>
    <row r="33" spans="1:2" ht="15" x14ac:dyDescent="0.25">
      <c r="A33" s="3">
        <v>36</v>
      </c>
      <c r="B33" s="3">
        <v>34</v>
      </c>
    </row>
    <row r="34" spans="1:2" ht="15" x14ac:dyDescent="0.25">
      <c r="A34" s="3">
        <v>38</v>
      </c>
      <c r="B34" s="3">
        <v>50</v>
      </c>
    </row>
    <row r="35" spans="1:2" ht="15" x14ac:dyDescent="0.25">
      <c r="A35" s="3">
        <v>25</v>
      </c>
      <c r="B35" s="3">
        <v>37</v>
      </c>
    </row>
    <row r="36" spans="1:2" ht="15" x14ac:dyDescent="0.25">
      <c r="A36" s="3">
        <v>44</v>
      </c>
      <c r="B36" s="3">
        <v>19</v>
      </c>
    </row>
    <row r="37" spans="1:2" ht="15" x14ac:dyDescent="0.25">
      <c r="A37" s="3">
        <v>62</v>
      </c>
      <c r="B37" s="3">
        <v>40</v>
      </c>
    </row>
    <row r="38" spans="1:2" ht="15" x14ac:dyDescent="0.25">
      <c r="B38" s="3">
        <v>28</v>
      </c>
    </row>
    <row r="39" spans="1:2" ht="15" x14ac:dyDescent="0.25">
      <c r="B39" s="3">
        <v>40</v>
      </c>
    </row>
    <row r="40" spans="1:2" ht="15" x14ac:dyDescent="0.25">
      <c r="B40" s="3">
        <v>38</v>
      </c>
    </row>
    <row r="41" spans="1:2" ht="15" x14ac:dyDescent="0.25">
      <c r="B41" s="3">
        <v>36</v>
      </c>
    </row>
    <row r="42" spans="1:2" ht="15" x14ac:dyDescent="0.25">
      <c r="B42" s="3">
        <v>27</v>
      </c>
    </row>
    <row r="43" spans="1:2" ht="15" x14ac:dyDescent="0.25">
      <c r="B43" s="3">
        <v>51</v>
      </c>
    </row>
    <row r="44" spans="1:2" ht="15" x14ac:dyDescent="0.25">
      <c r="B44" s="3">
        <v>36</v>
      </c>
    </row>
    <row r="45" spans="1:2" ht="15" x14ac:dyDescent="0.25">
      <c r="B45" s="3">
        <v>24</v>
      </c>
    </row>
    <row r="46" spans="1:2" ht="15" x14ac:dyDescent="0.25">
      <c r="B46" s="3">
        <v>20</v>
      </c>
    </row>
    <row r="47" spans="1:2" ht="15" x14ac:dyDescent="0.25">
      <c r="B47" s="3">
        <v>19</v>
      </c>
    </row>
    <row r="48" spans="1:2" ht="15" x14ac:dyDescent="0.25">
      <c r="B48" s="3">
        <v>46</v>
      </c>
    </row>
    <row r="49" spans="2:2" ht="15" x14ac:dyDescent="0.25">
      <c r="B49" s="3">
        <v>22</v>
      </c>
    </row>
    <row r="50" spans="2:2" ht="15" x14ac:dyDescent="0.25">
      <c r="B50" s="3">
        <v>47</v>
      </c>
    </row>
  </sheetData>
  <mergeCells count="2">
    <mergeCell ref="D1:G1"/>
    <mergeCell ref="D2:G2"/>
  </mergeCells>
  <phoneticPr fontId="0" type="noConversion"/>
  <printOptions headings="1" gridLines="1"/>
  <pageMargins left="0.75" right="0.75" top="1" bottom="1" header="0.5" footer="0.5"/>
  <pageSetup scale="87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Template</vt:lpstr>
      <vt:lpstr>Data!Print_Area</vt:lpstr>
      <vt:lpstr>Template!Print_Area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Ohlmann, Jeffrey W</cp:lastModifiedBy>
  <cp:lastPrinted>2004-07-13T09:42:42Z</cp:lastPrinted>
  <dcterms:created xsi:type="dcterms:W3CDTF">1999-12-07T13:12:12Z</dcterms:created>
  <dcterms:modified xsi:type="dcterms:W3CDTF">2023-03-25T18:45:04Z</dcterms:modified>
</cp:coreProperties>
</file>