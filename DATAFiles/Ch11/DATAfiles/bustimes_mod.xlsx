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Figures\"/>
    </mc:Choice>
  </mc:AlternateContent>
  <xr:revisionPtr revIDLastSave="0" documentId="13_ncr:1_{70B27776-F4A0-4108-B486-774F06281F72}" xr6:coauthVersionLast="47" xr6:coauthVersionMax="47" xr10:uidLastSave="{00000000-0000-0000-0000-000000000000}"/>
  <bookViews>
    <workbookView xWindow="28680" yWindow="-120" windowWidth="29040" windowHeight="15720" firstSheet="6" activeTab="7" xr2:uid="{00000000-000D-0000-FFFF-FFFF00000000}"/>
  </bookViews>
  <sheets>
    <sheet name="&amp;UnStack" sheetId="24" state="hidden" r:id="rId1"/>
    <sheet name="&amp;DataIndices" sheetId="22" state="hidden" r:id="rId2"/>
    <sheet name="&amp;DataCopy" sheetId="21" state="hidden" r:id="rId3"/>
    <sheet name="&amp;GraphData" sheetId="20" state="hidden" r:id="rId4"/>
    <sheet name="&amp;WorkArea" sheetId="19" state="hidden" r:id="rId5"/>
    <sheet name="&amp;Miscel_Area" sheetId="18" state="hidden" r:id="rId6"/>
    <sheet name="Data" sheetId="16" r:id="rId7"/>
    <sheet name="Template" sheetId="2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5" l="1"/>
  <c r="D4" i="25" l="1"/>
  <c r="D3" i="25"/>
  <c r="D10" i="25" s="1"/>
  <c r="D9" i="25" l="1"/>
  <c r="D12" i="25" l="1"/>
  <c r="D13" i="25"/>
  <c r="D14" i="25" s="1"/>
</calcChain>
</file>

<file path=xl/sharedStrings.xml><?xml version="1.0" encoding="utf-8"?>
<sst xmlns="http://schemas.openxmlformats.org/spreadsheetml/2006/main" count="12" uniqueCount="11">
  <si>
    <t>Sample Size</t>
  </si>
  <si>
    <t>Hypothesized Value</t>
  </si>
  <si>
    <t>Hypothesis Test About a Population Variance</t>
  </si>
  <si>
    <t>Times</t>
  </si>
  <si>
    <t>Sample Variance</t>
  </si>
  <si>
    <t>Test Statistic</t>
  </si>
  <si>
    <t>Degrees of Freedom</t>
  </si>
  <si>
    <t>Sample Mean</t>
  </si>
  <si>
    <r>
      <t>p</t>
    </r>
    <r>
      <rPr>
        <b/>
        <sz val="11"/>
        <rFont val="Calibri"/>
        <family val="2"/>
        <scheme val="minor"/>
      </rPr>
      <t>-value (Lower Tail)</t>
    </r>
  </si>
  <si>
    <r>
      <t>p</t>
    </r>
    <r>
      <rPr>
        <b/>
        <sz val="11"/>
        <rFont val="Calibri"/>
        <family val="2"/>
        <scheme val="minor"/>
      </rPr>
      <t>-value (Upper Tail)</t>
    </r>
  </si>
  <si>
    <r>
      <t>p</t>
    </r>
    <r>
      <rPr>
        <b/>
        <sz val="11"/>
        <rFont val="Calibri"/>
        <family val="2"/>
        <scheme val="minor"/>
      </rPr>
      <t>-value (Two Tail)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</si>
</sst>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6">
    <font>
      <sz val="11"/>
      <name val="Calibri"/>
      <family val="2"/>
      <scheme val="minor"/>
    </font>
    <font>
      <sz val="8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BEDA"/>
        <bgColor indexed="64"/>
      </patternFill>
    </fill>
    <fill>
      <patternFill patternType="solid">
        <fgColor rgb="FFC8FA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3" borderId="0" xfId="0" applyFont="1" applyFill="1"/>
    <xf numFmtId="2" fontId="3" fillId="3" borderId="0" xfId="0" applyNumberFormat="1" applyFont="1" applyFill="1"/>
    <xf numFmtId="166" fontId="3" fillId="3" borderId="0" xfId="0" applyNumberFormat="1" applyFont="1" applyFill="1"/>
    <xf numFmtId="166" fontId="3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" fillId="3" borderId="0" xfId="0" applyNumberFormat="1" applyFont="1" applyFill="1"/>
    <xf numFmtId="165" fontId="2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8FAC8"/>
      <color rgb="FFC8B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"/>
  <sheetViews>
    <sheetView workbookViewId="0">
      <selection activeCell="H11" sqref="H11"/>
    </sheetView>
  </sheetViews>
  <sheetFormatPr defaultColWidth="11.42578125" defaultRowHeight="15"/>
  <cols>
    <col min="1" max="16384" width="11.42578125" style="2"/>
  </cols>
  <sheetData>
    <row r="1" spans="1:1">
      <c r="A1" s="1" t="s">
        <v>3</v>
      </c>
    </row>
    <row r="2" spans="1:1">
      <c r="A2" s="3">
        <v>15.7</v>
      </c>
    </row>
    <row r="3" spans="1:1">
      <c r="A3" s="3">
        <v>16.899999999999999</v>
      </c>
    </row>
    <row r="4" spans="1:1">
      <c r="A4" s="3">
        <v>12.8</v>
      </c>
    </row>
    <row r="5" spans="1:1">
      <c r="A5" s="3">
        <v>15.6</v>
      </c>
    </row>
    <row r="6" spans="1:1">
      <c r="A6" s="4">
        <v>14</v>
      </c>
    </row>
    <row r="7" spans="1:1">
      <c r="A7" s="3">
        <v>16.2</v>
      </c>
    </row>
    <row r="8" spans="1:1">
      <c r="A8" s="3">
        <v>14.8</v>
      </c>
    </row>
    <row r="9" spans="1:1">
      <c r="A9" s="3">
        <v>19.8</v>
      </c>
    </row>
    <row r="10" spans="1:1">
      <c r="A10" s="3">
        <v>13.2</v>
      </c>
    </row>
    <row r="11" spans="1:1">
      <c r="A11" s="3">
        <v>15.3</v>
      </c>
    </row>
    <row r="12" spans="1:1">
      <c r="A12" s="3">
        <v>14.7</v>
      </c>
    </row>
    <row r="13" spans="1:1">
      <c r="A13" s="3">
        <v>10.199999999999999</v>
      </c>
    </row>
    <row r="14" spans="1:1">
      <c r="A14" s="3">
        <v>16.7</v>
      </c>
    </row>
    <row r="15" spans="1:1">
      <c r="A15" s="3">
        <v>13.6</v>
      </c>
    </row>
    <row r="16" spans="1:1">
      <c r="A16" s="4">
        <v>14</v>
      </c>
    </row>
    <row r="17" spans="1:1">
      <c r="A17" s="3">
        <v>18.2</v>
      </c>
    </row>
    <row r="18" spans="1:1">
      <c r="A18" s="3">
        <v>15.7</v>
      </c>
    </row>
    <row r="19" spans="1:1">
      <c r="A19" s="3">
        <v>14.2</v>
      </c>
    </row>
    <row r="20" spans="1:1">
      <c r="A20" s="3">
        <v>11.1</v>
      </c>
    </row>
    <row r="21" spans="1:1">
      <c r="A21" s="3">
        <v>16.8</v>
      </c>
    </row>
    <row r="22" spans="1:1">
      <c r="A22" s="3">
        <v>11.8</v>
      </c>
    </row>
    <row r="23" spans="1:1">
      <c r="A23" s="4">
        <v>16</v>
      </c>
    </row>
    <row r="24" spans="1:1">
      <c r="A24" s="3">
        <v>14.2</v>
      </c>
    </row>
    <row r="25" spans="1:1">
      <c r="A25" s="3">
        <v>12.7</v>
      </c>
    </row>
  </sheetData>
  <phoneticPr fontId="1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tabSelected="1" workbookViewId="0">
      <selection activeCell="F32" sqref="F32"/>
    </sheetView>
  </sheetViews>
  <sheetFormatPr defaultColWidth="11.42578125" defaultRowHeight="15"/>
  <cols>
    <col min="1" max="1" width="9.5703125" style="2" customWidth="1"/>
    <col min="2" max="2" width="5.7109375" style="2" customWidth="1"/>
    <col min="3" max="3" width="26.7109375" style="2" customWidth="1"/>
    <col min="4" max="4" width="11.28515625" style="2" customWidth="1"/>
    <col min="5" max="5" width="15.42578125" style="2" customWidth="1"/>
    <col min="6" max="16384" width="11.42578125" style="2"/>
  </cols>
  <sheetData>
    <row r="1" spans="1:5">
      <c r="A1" s="1" t="s">
        <v>3</v>
      </c>
      <c r="C1" s="14" t="s">
        <v>2</v>
      </c>
      <c r="D1" s="14"/>
      <c r="E1" s="14"/>
    </row>
    <row r="2" spans="1:5">
      <c r="A2" s="5">
        <v>15.7</v>
      </c>
      <c r="C2" s="6"/>
    </row>
    <row r="3" spans="1:5">
      <c r="A3" s="5">
        <v>16.899999999999999</v>
      </c>
      <c r="C3" s="6" t="s">
        <v>0</v>
      </c>
      <c r="D3" s="7">
        <f>COUNT(A:A)</f>
        <v>24</v>
      </c>
    </row>
    <row r="4" spans="1:5">
      <c r="A4" s="5">
        <v>12.8</v>
      </c>
      <c r="C4" s="6" t="s">
        <v>7</v>
      </c>
      <c r="D4" s="8">
        <f>AVERAGE(A:A)</f>
        <v>14.758333333333333</v>
      </c>
    </row>
    <row r="5" spans="1:5">
      <c r="A5" s="5">
        <v>15.6</v>
      </c>
      <c r="C5" s="6" t="s">
        <v>4</v>
      </c>
      <c r="D5" s="9">
        <f>_xlfn.VAR.S(A:A)</f>
        <v>4.900797101449311</v>
      </c>
    </row>
    <row r="6" spans="1:5">
      <c r="A6" s="10">
        <v>14</v>
      </c>
      <c r="C6" s="6"/>
    </row>
    <row r="7" spans="1:5">
      <c r="A7" s="5">
        <v>16.2</v>
      </c>
      <c r="C7" s="6" t="s">
        <v>1</v>
      </c>
      <c r="D7" s="2">
        <v>4</v>
      </c>
    </row>
    <row r="8" spans="1:5">
      <c r="A8" s="5">
        <v>14.8</v>
      </c>
      <c r="C8" s="6"/>
    </row>
    <row r="9" spans="1:5">
      <c r="A9" s="5">
        <v>19.8</v>
      </c>
      <c r="C9" s="6" t="s">
        <v>5</v>
      </c>
      <c r="D9" s="8">
        <f>(D3-1)*D5/D7</f>
        <v>28.179583333333539</v>
      </c>
    </row>
    <row r="10" spans="1:5">
      <c r="A10" s="5">
        <v>13.2</v>
      </c>
      <c r="C10" s="6" t="s">
        <v>6</v>
      </c>
      <c r="D10" s="7">
        <f>D3-1</f>
        <v>23</v>
      </c>
    </row>
    <row r="11" spans="1:5">
      <c r="A11" s="5">
        <v>15.3</v>
      </c>
    </row>
    <row r="12" spans="1:5">
      <c r="A12" s="5">
        <v>14.7</v>
      </c>
      <c r="C12" s="11" t="s">
        <v>8</v>
      </c>
      <c r="D12" s="12">
        <f>_xlfn.CHISQ.DIST(D9,D10,TRUE)</f>
        <v>0.79093321744000422</v>
      </c>
    </row>
    <row r="13" spans="1:5">
      <c r="A13" s="5">
        <v>10.199999999999999</v>
      </c>
      <c r="C13" s="11" t="s">
        <v>9</v>
      </c>
      <c r="D13" s="12">
        <f>_xlfn.CHISQ.DIST.RT(D9,D10)</f>
        <v>0.20906678255999578</v>
      </c>
    </row>
    <row r="14" spans="1:5">
      <c r="A14" s="5">
        <v>16.7</v>
      </c>
      <c r="C14" s="11" t="s">
        <v>10</v>
      </c>
      <c r="D14" s="12">
        <f>2*MIN(D12,D13)</f>
        <v>0.41813356511999156</v>
      </c>
    </row>
    <row r="15" spans="1:5">
      <c r="A15" s="5">
        <v>13.6</v>
      </c>
      <c r="C15" s="6"/>
    </row>
    <row r="16" spans="1:5" hidden="1">
      <c r="A16" s="10">
        <v>14</v>
      </c>
      <c r="C16" s="6"/>
    </row>
    <row r="17" spans="1:3" hidden="1">
      <c r="A17" s="5">
        <v>18.2</v>
      </c>
      <c r="C17" s="13"/>
    </row>
    <row r="18" spans="1:3" hidden="1">
      <c r="A18" s="5">
        <v>15.7</v>
      </c>
      <c r="C18" s="6"/>
    </row>
    <row r="19" spans="1:3" hidden="1">
      <c r="A19" s="5">
        <v>14.2</v>
      </c>
      <c r="C19" s="6"/>
    </row>
    <row r="20" spans="1:3" hidden="1">
      <c r="A20" s="5">
        <v>11.1</v>
      </c>
      <c r="C20" s="6"/>
    </row>
    <row r="21" spans="1:3" hidden="1">
      <c r="A21" s="5">
        <v>16.8</v>
      </c>
      <c r="C21" s="6"/>
    </row>
    <row r="22" spans="1:3" hidden="1">
      <c r="A22" s="5">
        <v>11.8</v>
      </c>
      <c r="C22" s="6"/>
    </row>
    <row r="23" spans="1:3" hidden="1">
      <c r="A23" s="10">
        <v>16</v>
      </c>
      <c r="C23" s="6"/>
    </row>
    <row r="24" spans="1:3" hidden="1">
      <c r="A24" s="5">
        <v>14.2</v>
      </c>
      <c r="C24" s="6"/>
    </row>
    <row r="25" spans="1:3">
      <c r="A25" s="5">
        <v>12.7</v>
      </c>
      <c r="C25" s="6"/>
    </row>
  </sheetData>
  <mergeCells count="1">
    <mergeCell ref="C1:E1"/>
  </mergeCells>
  <printOptions gridLines="1" gridLinesSet="0"/>
  <pageMargins left="0.75" right="0.75" top="1" bottom="1" header="0.5" footer="0.5"/>
  <pageSetup orientation="portrait" horizontalDpi="4294967293" verticalDpi="4294967293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&amp;UnStack</vt:lpstr>
      <vt:lpstr>&amp;DataIndices</vt:lpstr>
      <vt:lpstr>&amp;DataCopy</vt:lpstr>
      <vt:lpstr>&amp;GraphData</vt:lpstr>
      <vt:lpstr>&amp;WorkArea</vt:lpstr>
      <vt:lpstr>&amp;Miscel_Area</vt:lpstr>
      <vt:lpstr>Data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1998-01-23T23:30:42Z</dcterms:created>
  <dcterms:modified xsi:type="dcterms:W3CDTF">2023-03-26T12:33:18Z</dcterms:modified>
</cp:coreProperties>
</file>