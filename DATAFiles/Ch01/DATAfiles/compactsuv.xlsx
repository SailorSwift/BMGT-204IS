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69j985\Documents\GitHub\BMGT-204IS\DATAFiles\Ch01\DATAfiles\"/>
    </mc:Choice>
  </mc:AlternateContent>
  <xr:revisionPtr revIDLastSave="0" documentId="13_ncr:1_{C7878046-0A84-4E0F-8CA5-EAF352DF9A1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1" i="2"/>
  <c r="B30" i="2"/>
  <c r="B29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E17" i="2"/>
  <c r="D17" i="2"/>
  <c r="E16" i="2"/>
  <c r="D16" i="2"/>
  <c r="E15" i="2"/>
  <c r="D15" i="2"/>
  <c r="E14" i="2"/>
  <c r="D14" i="2"/>
  <c r="E13" i="2"/>
  <c r="D13" i="2"/>
  <c r="E12" i="2"/>
  <c r="D12" i="2"/>
  <c r="B6" i="2"/>
  <c r="B5" i="2"/>
  <c r="B7" i="2" s="1"/>
  <c r="B8" i="2" l="1"/>
</calcChain>
</file>

<file path=xl/sharedStrings.xml><?xml version="1.0" encoding="utf-8"?>
<sst xmlns="http://schemas.openxmlformats.org/spreadsheetml/2006/main" count="240" uniqueCount="182">
  <si>
    <t>Make</t>
  </si>
  <si>
    <t>Model</t>
  </si>
  <si>
    <t>Overall Score</t>
  </si>
  <si>
    <t>Recommended</t>
  </si>
  <si>
    <t>Owner Satisfaction</t>
  </si>
  <si>
    <t>Overall Miles Per Gallon</t>
  </si>
  <si>
    <t>Acceleration (0-60) Sec</t>
  </si>
  <si>
    <t>Subaru</t>
  </si>
  <si>
    <t>Forester</t>
  </si>
  <si>
    <t>Yes</t>
  </si>
  <si>
    <t>+</t>
  </si>
  <si>
    <t>Honda</t>
  </si>
  <si>
    <t>CRV</t>
  </si>
  <si>
    <t>++</t>
  </si>
  <si>
    <t>Toyota</t>
  </si>
  <si>
    <t>Rav4</t>
  </si>
  <si>
    <t>Nissan</t>
  </si>
  <si>
    <t>Rogue</t>
  </si>
  <si>
    <t>Mazda</t>
  </si>
  <si>
    <t>CX-5</t>
  </si>
  <si>
    <t>Kia</t>
  </si>
  <si>
    <t>Sportage</t>
  </si>
  <si>
    <t>Ford</t>
  </si>
  <si>
    <t>Escape</t>
  </si>
  <si>
    <t>Volkswagen</t>
  </si>
  <si>
    <t>Tiguan Limited</t>
  </si>
  <si>
    <t>No</t>
  </si>
  <si>
    <t>Tiguan</t>
  </si>
  <si>
    <t>Mitsubishi</t>
  </si>
  <si>
    <t>Outlander</t>
  </si>
  <si>
    <t>Chevrolet</t>
  </si>
  <si>
    <t>Equinox</t>
  </si>
  <si>
    <t>Hyundai</t>
  </si>
  <si>
    <t>Tuscon</t>
  </si>
  <si>
    <t>GMC</t>
  </si>
  <si>
    <t>Terrain</t>
  </si>
  <si>
    <t xml:space="preserve">Jeep </t>
  </si>
  <si>
    <t>Cherokee</t>
  </si>
  <si>
    <t>-</t>
  </si>
  <si>
    <t>Compass</t>
  </si>
  <si>
    <t>BMGT 240IS · Chapter 1 · compactsuv.xlsx — Summary</t>
  </si>
  <si>
    <t>Camm et al., Essentials of Modern Business Statistics with Microsoft Excel, 9e · Ch 1  — every figure is a live formula against the Data sheet, not a pasted value.</t>
  </si>
  <si>
    <t>DATA SET ANATOMY</t>
  </si>
  <si>
    <t>Elements (vehicles)</t>
  </si>
  <si>
    <t>column B (Model) holds observation names</t>
  </si>
  <si>
    <t>Variables</t>
  </si>
  <si>
    <t>Make + the five measured columns; Model is the label</t>
  </si>
  <si>
    <t>Treating Make as part of the identifier instead gives 5 variables / 75 values — also defensible. Pick one and stay with it.</t>
  </si>
  <si>
    <t>Observations</t>
  </si>
  <si>
    <t>a data set with n elements has n observations</t>
  </si>
  <si>
    <t>Data values</t>
  </si>
  <si>
    <t>elements x variables</t>
  </si>
  <si>
    <t>VARIABLE SUMMARY</t>
  </si>
  <si>
    <t>Variable</t>
  </si>
  <si>
    <t>Scale</t>
  </si>
  <si>
    <t>Categorical / quantitative</t>
  </si>
  <si>
    <t>Distinct</t>
  </si>
  <si>
    <t>Distribution in this file</t>
  </si>
  <si>
    <t>Nominal</t>
  </si>
  <si>
    <t>Categorical</t>
  </si>
  <si>
    <t>Interval</t>
  </si>
  <si>
    <t>Quantitative</t>
  </si>
  <si>
    <t>Ordinal</t>
  </si>
  <si>
    <t>Overall MPG</t>
  </si>
  <si>
    <t>Ratio</t>
  </si>
  <si>
    <t>Acceleration 0-60</t>
  </si>
  <si>
    <t>THE THREE QUANTITATIVE VARIABLES</t>
  </si>
  <si>
    <t>Acceleration</t>
  </si>
  <si>
    <t>n</t>
  </si>
  <si>
    <t>Minimum</t>
  </si>
  <si>
    <t>Maximum</t>
  </si>
  <si>
    <t>Mean</t>
  </si>
  <si>
    <t>Median</t>
  </si>
  <si>
    <t>Std deviation (sample)</t>
  </si>
  <si>
    <t>WHICH ARITHMETIC IS LEGAL — the day-1 demo</t>
  </si>
  <si>
    <t>Ordinal scale — Excel answers anyway:</t>
  </si>
  <si>
    <t>returns a clean, WRONG 0 — no warning, no error</t>
  </si>
  <si>
    <t>How many cells it actually used:</t>
  </si>
  <si>
    <t>7 numeric zeros</t>
  </si>
  <si>
    <t>How many cells are filled:</t>
  </si>
  <si>
    <t>15 — eight text cells were silently discarded. COUNT vs COUNTA is the only tell.</t>
  </si>
  <si>
    <t>'RECOMMENDED' IS MANUFACTURED, NOT MEASURED</t>
  </si>
  <si>
    <t>Lowest score marked Yes</t>
  </si>
  <si>
    <t>Highest score marked No</t>
  </si>
  <si>
    <t>Recommended is a threshold on Overall Score at roughly 68 — a categorical variable built by cutting a quantitative one. Who chose 68, and does it matter to the car at 57?</t>
  </si>
  <si>
    <t>WHERE DID EACH COLUMN COME FROM? (§1.3 — three ways to get data, one table)</t>
  </si>
  <si>
    <t>Column</t>
  </si>
  <si>
    <t>How it was obtained</t>
  </si>
  <si>
    <t>Book's category</t>
  </si>
  <si>
    <t>Overall MPG, Acceleration</t>
  </si>
  <si>
    <t>Consumer Reports drove the cars on a test track under controlled conditions</t>
  </si>
  <si>
    <t>experiment / controlled measurement</t>
  </si>
  <si>
    <t>they surveyed people who already own one</t>
  </si>
  <si>
    <t>observational study — a survey</t>
  </si>
  <si>
    <t>CR combined the measurements using weights of their own choosing</t>
  </si>
  <si>
    <t>constructed composite</t>
  </si>
  <si>
    <t>a threshold applied to Overall Score</t>
  </si>
  <si>
    <t>derived from another column</t>
  </si>
  <si>
    <t>Four columns, four different kinds of knowing — formatted identically, and Excel treats them all the same. Nothing in a spreadsheet tells you which is which.</t>
  </si>
  <si>
    <t>KEY TERMS — Camm 9e, Chapter 1 (definitions verbatim from the textbook)</t>
  </si>
  <si>
    <t>Term</t>
  </si>
  <si>
    <t>§</t>
  </si>
  <si>
    <t>Definition (Camm 9e)</t>
  </si>
  <si>
    <t>In this file</t>
  </si>
  <si>
    <t>Data</t>
  </si>
  <si>
    <t>§1.2</t>
  </si>
  <si>
    <t>The facts and figures collected, analyzed, and summarized for presentation and interpretation.</t>
  </si>
  <si>
    <t>Elements</t>
  </si>
  <si>
    <t>The entities on which data are collected.</t>
  </si>
  <si>
    <t>the 15 compact SUVs — rows 2:16</t>
  </si>
  <si>
    <t>A characteristic of interest for the elements.</t>
  </si>
  <si>
    <t>Make, Overall Score, Recommended, Owner Satisfaction, MPG, Acceleration</t>
  </si>
  <si>
    <t>Data set</t>
  </si>
  <si>
    <t>All the data collected in a particular study.</t>
  </si>
  <si>
    <t>15 elements x 6 variables = 90 data values</t>
  </si>
  <si>
    <t>Observation</t>
  </si>
  <si>
    <t>The set of measurements obtained for a particular element.</t>
  </si>
  <si>
    <t>one row — Forester: Subaru, 84, Yes, +, 26, 8.7</t>
  </si>
  <si>
    <t>Nominal scale</t>
  </si>
  <si>
    <t>The scale of measurement for a variable when the data are labels or names used to identify an attribute of an element. Nominal data may be non-numeric or numeric.</t>
  </si>
  <si>
    <t>Make (13 distinct across 15 rows); Recommended (Yes / No)</t>
  </si>
  <si>
    <t>Ordinal scale</t>
  </si>
  <si>
    <t>The scale of measurement for a variable if the data exhibit the properties of nominal data and the order or rank of the data is meaningful. Ordinal data may be nonnumeric or numeric.</t>
  </si>
  <si>
    <t>Owner Satisfaction —  -  &lt;  0  &lt;  +  &lt;  ++</t>
  </si>
  <si>
    <t>Interval scale</t>
  </si>
  <si>
    <t>The scale of measurement for a variable if the data demonstrate the properties of ordinal data and the interval between values is expressed in terms of a fixed unit of measure. Interval data are always numeric.</t>
  </si>
  <si>
    <t>Overall Score (50-84) — differences mean something, ratios do not</t>
  </si>
  <si>
    <t>Ratio scale</t>
  </si>
  <si>
    <t>The scale of measurement for a variable if the data demonstrate all the properties of interval data and the ratio of two values is meaningful. Ratio data are always numerical.</t>
  </si>
  <si>
    <t>Overall MPG (21-31); Acceleration 0-60 (7.2-10.9 sec)</t>
  </si>
  <si>
    <t>Categorical data</t>
  </si>
  <si>
    <t>Labels or names used to identify an attribute of each element. Categorical data use either the nominal or ordinal scale of measurement and may be nonnumeric or numeric.</t>
  </si>
  <si>
    <t>Make, Recommended, Owner Satisfaction</t>
  </si>
  <si>
    <t>Categorical variable</t>
  </si>
  <si>
    <t>A variable with categorical data.</t>
  </si>
  <si>
    <t>Quantitative data</t>
  </si>
  <si>
    <t>Numeric values that indicate how much or how many of something. Quantitative data are obtained using either the interval or ratio scale of measurement.</t>
  </si>
  <si>
    <t>Overall Score, Overall MPG, Acceleration</t>
  </si>
  <si>
    <t>Quantitative variable</t>
  </si>
  <si>
    <t>A variable with quantitative data.</t>
  </si>
  <si>
    <t>Cross-sectional data</t>
  </si>
  <si>
    <t>Data collected at the same or approximately the same point in time.</t>
  </si>
  <si>
    <t>all 15 vehicles, one model year, measured together</t>
  </si>
  <si>
    <t>Time series data</t>
  </si>
  <si>
    <t>Data collected over several time periods.</t>
  </si>
  <si>
    <t>not in this file — see DATAFiles/Ch02/DATAfiles/gdp_years.xlsx</t>
  </si>
  <si>
    <t>Descriptive statistics</t>
  </si>
  <si>
    <t>§1.4</t>
  </si>
  <si>
    <t>Tabular, graphical, and numerical summaries of data.</t>
  </si>
  <si>
    <t>the three-variable table above</t>
  </si>
  <si>
    <t>Population</t>
  </si>
  <si>
    <t>§1.5</t>
  </si>
  <si>
    <t>The set of all elements of interest in a particular study.</t>
  </si>
  <si>
    <t>every compact SUV on sale</t>
  </si>
  <si>
    <t>Sample</t>
  </si>
  <si>
    <t>A subset of the population.</t>
  </si>
  <si>
    <t>the 15 Consumer Reports chose to test</t>
  </si>
  <si>
    <t>Census</t>
  </si>
  <si>
    <t>A survey to collect data on the entire population.</t>
  </si>
  <si>
    <t>Sample survey</t>
  </si>
  <si>
    <t>A survey to collect data on a sample.</t>
  </si>
  <si>
    <t>Statistical inference</t>
  </si>
  <si>
    <t>The process of using data obtained from a sample to make estimates or test hypotheses about the characteristics of a population.</t>
  </si>
  <si>
    <t>using these 15 to say something about compact SUVs generally</t>
  </si>
  <si>
    <t>Statistics</t>
  </si>
  <si>
    <t>gen.</t>
  </si>
  <si>
    <t>The art and science of collecting, analyzing, presenting, and interpreting data.</t>
  </si>
  <si>
    <t>Analytics</t>
  </si>
  <si>
    <t>§1.7</t>
  </si>
  <si>
    <t>The scientific process of transforming data into insight for making better decisions.</t>
  </si>
  <si>
    <t>Descriptive Analytics</t>
  </si>
  <si>
    <t>The set of analytical techniques that describe what has happened in the past.</t>
  </si>
  <si>
    <t>Predictive Analytics</t>
  </si>
  <si>
    <t>The set of analytical techniques that use models constructed from past data to predict the future or assess the impact of one variable on another.</t>
  </si>
  <si>
    <t>Prescriptive Analytics</t>
  </si>
  <si>
    <t>The set of analytical techniques that yield a best course of action.</t>
  </si>
  <si>
    <t>Big Data</t>
  </si>
  <si>
    <t>§1.8</t>
  </si>
  <si>
    <t>A set of data that cannot be managed, processed, or analyzed with commonly available software in a reasonable amount of time.</t>
  </si>
  <si>
    <t>Data mining</t>
  </si>
  <si>
    <t>The process of using procedures from statistics and computer science to extract useful information from extremely large databases.</t>
  </si>
  <si>
    <t>Shaded rows (§1.7-1.8) are Sep 1 material, not today's.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</si>
</sst>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E3160"/>
      <name val="Calibri"/>
    </font>
    <font>
      <i/>
      <sz val="9"/>
      <color rgb="FF5C687A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color rgb="FF0E3160"/>
      <name val="Calibri"/>
    </font>
    <font>
      <i/>
      <sz val="9"/>
      <color rgb="FF0E3160"/>
      <name val="Calibri"/>
    </font>
    <font>
      <b/>
      <sz val="10"/>
      <name val="Calibri"/>
    </font>
    <font>
      <sz val="9"/>
      <color rgb="FF5C687A"/>
      <name val="Calibri"/>
    </font>
    <font>
      <sz val="10"/>
      <name val="Calibri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3160"/>
      </patternFill>
    </fill>
    <fill>
      <patternFill patternType="solid">
        <fgColor rgb="FFE8EDF5"/>
      </patternFill>
    </fill>
    <fill>
      <patternFill patternType="solid">
        <fgColor rgb="FFF5EFDF"/>
      </patternFill>
    </fill>
    <fill>
      <patternFill patternType="solid">
        <fgColor rgb="FFF7F8FA"/>
      </patternFill>
    </fill>
  </fills>
  <borders count="3">
    <border>
      <left/>
      <right/>
      <top/>
      <bottom/>
      <diagonal/>
    </border>
    <border>
      <left style="thin">
        <color rgb="FFC9D0D9"/>
      </left>
      <right style="thin">
        <color rgb="FFC9D0D9"/>
      </right>
      <top style="thin">
        <color rgb="FFC9D0D9"/>
      </top>
      <bottom style="thin">
        <color rgb="FFC9D0D9"/>
      </bottom>
      <diagonal/>
    </border>
    <border>
      <left/>
      <right style="thin">
        <color rgb="FFC9D0D9"/>
      </right>
      <top style="thin">
        <color rgb="FFC9D0D9"/>
      </top>
      <bottom style="thin">
        <color rgb="FFC9D0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5" fillId="0" borderId="1" xfId="0" applyFont="1" applyBorder="1"/>
    <xf numFmtId="0" fontId="6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3" fillId="4" borderId="0" xfId="0" applyFont="1" applyFill="1"/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164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4" fillId="2" borderId="0" xfId="0" applyFont="1" applyFill="1" applyAlignment="1">
      <alignment vertical="center"/>
    </xf>
    <xf numFmtId="0" fontId="0" fillId="0" borderId="0" xfId="0"/>
    <xf numFmtId="0" fontId="3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7" fillId="0" borderId="1" xfId="0" applyFont="1" applyBorder="1" applyAlignment="1">
      <alignment horizontal="left" vertical="top" wrapText="1"/>
    </xf>
    <xf numFmtId="0" fontId="3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0" borderId="0" xfId="0" applyFont="1"/>
    <xf numFmtId="0" fontId="6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ColWidth="9.109375" defaultRowHeight="14.4" x14ac:dyDescent="0.3"/>
  <cols>
    <col min="1" max="1" width="19.44140625" customWidth="1"/>
    <col min="2" max="2" width="15" customWidth="1"/>
    <col min="3" max="3" width="15" style="3" customWidth="1"/>
    <col min="4" max="4" width="15.33203125" style="3" bestFit="1" customWidth="1"/>
    <col min="5" max="5" width="19.33203125" style="3" bestFit="1" customWidth="1"/>
    <col min="6" max="6" width="25.5546875" style="3" bestFit="1" customWidth="1"/>
    <col min="7" max="7" width="21.5546875" style="3" bestFit="1" customWidth="1"/>
    <col min="8" max="8" width="9.10937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s="3">
        <v>84</v>
      </c>
      <c r="D2" s="3" t="s">
        <v>9</v>
      </c>
      <c r="E2" s="3" t="s">
        <v>10</v>
      </c>
      <c r="F2" s="3">
        <v>26</v>
      </c>
      <c r="G2" s="3">
        <v>8.6999999999999993</v>
      </c>
    </row>
    <row r="3" spans="1:7" x14ac:dyDescent="0.3">
      <c r="A3" t="s">
        <v>11</v>
      </c>
      <c r="B3" t="s">
        <v>12</v>
      </c>
      <c r="C3" s="3">
        <v>83</v>
      </c>
      <c r="D3" s="3" t="s">
        <v>9</v>
      </c>
      <c r="E3" s="4" t="s">
        <v>13</v>
      </c>
      <c r="F3" s="3">
        <v>27</v>
      </c>
      <c r="G3" s="3">
        <v>8.6</v>
      </c>
    </row>
    <row r="4" spans="1:7" x14ac:dyDescent="0.3">
      <c r="A4" t="s">
        <v>14</v>
      </c>
      <c r="B4" t="s">
        <v>15</v>
      </c>
      <c r="C4" s="3">
        <v>81</v>
      </c>
      <c r="D4" s="3" t="s">
        <v>9</v>
      </c>
      <c r="E4" s="4" t="s">
        <v>13</v>
      </c>
      <c r="F4" s="3">
        <v>24</v>
      </c>
      <c r="G4" s="3">
        <v>9.3000000000000007</v>
      </c>
    </row>
    <row r="5" spans="1:7" x14ac:dyDescent="0.3">
      <c r="A5" t="s">
        <v>16</v>
      </c>
      <c r="B5" t="s">
        <v>17</v>
      </c>
      <c r="C5" s="3">
        <v>73</v>
      </c>
      <c r="D5" s="3" t="s">
        <v>9</v>
      </c>
      <c r="E5" s="4" t="s">
        <v>10</v>
      </c>
      <c r="F5" s="3">
        <v>24</v>
      </c>
      <c r="G5" s="3">
        <v>9.5</v>
      </c>
    </row>
    <row r="6" spans="1:7" x14ac:dyDescent="0.3">
      <c r="A6" t="s">
        <v>18</v>
      </c>
      <c r="B6" t="s">
        <v>19</v>
      </c>
      <c r="C6" s="3">
        <v>71</v>
      </c>
      <c r="D6" s="3" t="s">
        <v>9</v>
      </c>
      <c r="E6" s="4" t="s">
        <v>13</v>
      </c>
      <c r="F6" s="3">
        <v>24</v>
      </c>
      <c r="G6" s="3">
        <v>8.6</v>
      </c>
    </row>
    <row r="7" spans="1:7" x14ac:dyDescent="0.3">
      <c r="A7" t="s">
        <v>20</v>
      </c>
      <c r="B7" t="s">
        <v>21</v>
      </c>
      <c r="C7" s="3">
        <v>71</v>
      </c>
      <c r="D7" s="3" t="s">
        <v>9</v>
      </c>
      <c r="E7" s="4" t="s">
        <v>10</v>
      </c>
      <c r="F7" s="3">
        <v>23</v>
      </c>
      <c r="G7" s="3">
        <v>9.6</v>
      </c>
    </row>
    <row r="8" spans="1:7" x14ac:dyDescent="0.3">
      <c r="A8" t="s">
        <v>22</v>
      </c>
      <c r="B8" t="s">
        <v>23</v>
      </c>
      <c r="C8" s="3">
        <v>69</v>
      </c>
      <c r="D8" s="3" t="s">
        <v>9</v>
      </c>
      <c r="E8" s="3">
        <v>0</v>
      </c>
      <c r="F8" s="3">
        <v>23</v>
      </c>
      <c r="G8" s="3">
        <v>10.1</v>
      </c>
    </row>
    <row r="9" spans="1:7" x14ac:dyDescent="0.3">
      <c r="A9" t="s">
        <v>24</v>
      </c>
      <c r="B9" t="s">
        <v>25</v>
      </c>
      <c r="C9" s="3">
        <v>67</v>
      </c>
      <c r="D9" s="3" t="s">
        <v>26</v>
      </c>
      <c r="E9" s="3">
        <v>0</v>
      </c>
      <c r="F9" s="3">
        <v>21</v>
      </c>
      <c r="G9" s="3">
        <v>8.5</v>
      </c>
    </row>
    <row r="10" spans="1:7" x14ac:dyDescent="0.3">
      <c r="A10" t="s">
        <v>24</v>
      </c>
      <c r="B10" t="s">
        <v>27</v>
      </c>
      <c r="C10" s="3">
        <v>65</v>
      </c>
      <c r="D10" s="3" t="s">
        <v>26</v>
      </c>
      <c r="E10" s="4" t="s">
        <v>10</v>
      </c>
      <c r="F10" s="3">
        <v>25</v>
      </c>
      <c r="G10" s="3">
        <v>10.3</v>
      </c>
    </row>
    <row r="11" spans="1:7" x14ac:dyDescent="0.3">
      <c r="A11" t="s">
        <v>28</v>
      </c>
      <c r="B11" t="s">
        <v>29</v>
      </c>
      <c r="C11" s="3">
        <v>63</v>
      </c>
      <c r="D11" s="3" t="s">
        <v>26</v>
      </c>
      <c r="E11" s="3">
        <v>0</v>
      </c>
      <c r="F11" s="3">
        <v>24</v>
      </c>
      <c r="G11" s="5">
        <v>10</v>
      </c>
    </row>
    <row r="12" spans="1:7" x14ac:dyDescent="0.3">
      <c r="A12" t="s">
        <v>30</v>
      </c>
      <c r="B12" t="s">
        <v>31</v>
      </c>
      <c r="C12" s="3">
        <v>63</v>
      </c>
      <c r="D12" s="3" t="s">
        <v>26</v>
      </c>
      <c r="E12" s="3">
        <v>0</v>
      </c>
      <c r="F12" s="3">
        <v>31</v>
      </c>
      <c r="G12" s="3">
        <v>10.1</v>
      </c>
    </row>
    <row r="13" spans="1:7" x14ac:dyDescent="0.3">
      <c r="A13" t="s">
        <v>32</v>
      </c>
      <c r="B13" t="s">
        <v>33</v>
      </c>
      <c r="C13" s="3">
        <v>57</v>
      </c>
      <c r="D13" s="3" t="s">
        <v>26</v>
      </c>
      <c r="E13" s="3">
        <v>0</v>
      </c>
      <c r="F13" s="3">
        <v>26</v>
      </c>
      <c r="G13" s="3">
        <v>8.4</v>
      </c>
    </row>
    <row r="14" spans="1:7" x14ac:dyDescent="0.3">
      <c r="A14" t="s">
        <v>34</v>
      </c>
      <c r="B14" t="s">
        <v>35</v>
      </c>
      <c r="C14" s="3">
        <v>57</v>
      </c>
      <c r="D14" s="3" t="s">
        <v>26</v>
      </c>
      <c r="E14" s="3">
        <v>0</v>
      </c>
      <c r="F14" s="3">
        <v>22</v>
      </c>
      <c r="G14" s="3">
        <v>7.2</v>
      </c>
    </row>
    <row r="15" spans="1:7" x14ac:dyDescent="0.3">
      <c r="A15" t="s">
        <v>36</v>
      </c>
      <c r="B15" t="s">
        <v>37</v>
      </c>
      <c r="C15" s="3">
        <v>55</v>
      </c>
      <c r="D15" s="3" t="s">
        <v>26</v>
      </c>
      <c r="E15" s="4" t="s">
        <v>38</v>
      </c>
      <c r="F15" s="3">
        <v>22</v>
      </c>
      <c r="G15" s="3">
        <v>10.9</v>
      </c>
    </row>
    <row r="16" spans="1:7" x14ac:dyDescent="0.3">
      <c r="A16" t="s">
        <v>36</v>
      </c>
      <c r="B16" t="s">
        <v>39</v>
      </c>
      <c r="C16" s="3">
        <v>50</v>
      </c>
      <c r="D16" s="3" t="s">
        <v>26</v>
      </c>
      <c r="E16" s="3">
        <v>0</v>
      </c>
      <c r="F16" s="3">
        <v>24</v>
      </c>
      <c r="G16" s="3">
        <v>9.8000000000000007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showGridLines="0" tabSelected="1"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26" customWidth="1"/>
    <col min="2" max="2" width="6" customWidth="1"/>
    <col min="3" max="3" width="68" customWidth="1"/>
    <col min="4" max="4" width="30" customWidth="1"/>
    <col min="5" max="5" width="26" customWidth="1"/>
  </cols>
  <sheetData>
    <row r="1" spans="1:5" ht="18" x14ac:dyDescent="0.35">
      <c r="A1" s="35" t="s">
        <v>40</v>
      </c>
      <c r="B1" s="29"/>
      <c r="C1" s="29"/>
      <c r="D1" s="29"/>
      <c r="E1" s="29"/>
    </row>
    <row r="2" spans="1:5" x14ac:dyDescent="0.3">
      <c r="A2" s="33" t="s">
        <v>41</v>
      </c>
      <c r="B2" s="29"/>
      <c r="C2" s="29"/>
      <c r="D2" s="29"/>
      <c r="E2" s="29"/>
    </row>
    <row r="4" spans="1:5" ht="19.95" customHeight="1" x14ac:dyDescent="0.3">
      <c r="A4" s="28" t="s">
        <v>42</v>
      </c>
      <c r="B4" s="29"/>
      <c r="C4" s="29"/>
      <c r="D4" s="29"/>
      <c r="E4" s="29"/>
    </row>
    <row r="5" spans="1:5" ht="15.6" x14ac:dyDescent="0.3">
      <c r="A5" s="7" t="s">
        <v>43</v>
      </c>
      <c r="B5" s="20">
        <f>COUNTA(Data!B2:B16)</f>
        <v>15</v>
      </c>
      <c r="C5" s="6" t="s">
        <v>44</v>
      </c>
    </row>
    <row r="6" spans="1:5" ht="15.6" x14ac:dyDescent="0.3">
      <c r="A6" s="7" t="s">
        <v>45</v>
      </c>
      <c r="B6" s="20">
        <f>COUNTA(Data!A1)+COUNTA(Data!C1:G1)</f>
        <v>6</v>
      </c>
      <c r="C6" s="6" t="s">
        <v>46</v>
      </c>
      <c r="D6" s="6" t="s">
        <v>47</v>
      </c>
    </row>
    <row r="7" spans="1:5" ht="15.6" x14ac:dyDescent="0.3">
      <c r="A7" s="7" t="s">
        <v>48</v>
      </c>
      <c r="B7" s="20">
        <f>B5</f>
        <v>15</v>
      </c>
      <c r="C7" s="6" t="s">
        <v>49</v>
      </c>
    </row>
    <row r="8" spans="1:5" ht="15.6" x14ac:dyDescent="0.3">
      <c r="A8" s="7" t="s">
        <v>50</v>
      </c>
      <c r="B8" s="20">
        <f>B5*B6</f>
        <v>90</v>
      </c>
      <c r="C8" s="6" t="s">
        <v>51</v>
      </c>
    </row>
    <row r="10" spans="1:5" ht="19.95" customHeight="1" x14ac:dyDescent="0.3">
      <c r="A10" s="28" t="s">
        <v>52</v>
      </c>
      <c r="B10" s="29"/>
      <c r="C10" s="29"/>
      <c r="D10" s="29"/>
      <c r="E10" s="29"/>
    </row>
    <row r="11" spans="1:5" x14ac:dyDescent="0.3">
      <c r="A11" s="8" t="s">
        <v>53</v>
      </c>
      <c r="B11" s="8" t="s">
        <v>54</v>
      </c>
      <c r="C11" s="8" t="s">
        <v>55</v>
      </c>
      <c r="D11" s="8" t="s">
        <v>56</v>
      </c>
      <c r="E11" s="8" t="s">
        <v>57</v>
      </c>
    </row>
    <row r="12" spans="1:5" ht="46.8" x14ac:dyDescent="0.3">
      <c r="A12" s="9" t="s">
        <v>0</v>
      </c>
      <c r="B12" s="21" t="s">
        <v>58</v>
      </c>
      <c r="C12" s="22" t="s">
        <v>59</v>
      </c>
      <c r="D12" s="23">
        <f>SUMPRODUCT((Data!A2:A16&lt;&gt;"")/COUNTIF(Data!A2:A16,Data!A2:A16&amp;""))</f>
        <v>13</v>
      </c>
      <c r="E12" s="22" t="str">
        <f>"13 makes across 15 vehicles — Volkswagen and Jeep appear twice"</f>
        <v>13 makes across 15 vehicles — Volkswagen and Jeep appear twice</v>
      </c>
    </row>
    <row r="13" spans="1:5" ht="15.6" x14ac:dyDescent="0.3">
      <c r="A13" s="9" t="s">
        <v>2</v>
      </c>
      <c r="B13" s="21" t="s">
        <v>60</v>
      </c>
      <c r="C13" s="22" t="s">
        <v>61</v>
      </c>
      <c r="D13" s="23">
        <f>SUMPRODUCT((Data!C2:C16&lt;&gt;"")/COUNTIF(Data!C2:C16,Data!C2:C16&amp;""))</f>
        <v>12</v>
      </c>
      <c r="E13" s="22" t="str">
        <f>MIN(Data!C2:C16)&amp;" to "&amp;MAX(Data!C2:C16)&amp;"   ·   mean "&amp;TEXT(AVERAGE(Data!C2:C16),"0.0")</f>
        <v>50 to 84   ·   mean 67.3</v>
      </c>
    </row>
    <row r="14" spans="1:5" ht="15.6" x14ac:dyDescent="0.3">
      <c r="A14" s="9" t="s">
        <v>3</v>
      </c>
      <c r="B14" s="21" t="s">
        <v>58</v>
      </c>
      <c r="C14" s="22" t="s">
        <v>59</v>
      </c>
      <c r="D14" s="23">
        <f>SUMPRODUCT((Data!D2:D16&lt;&gt;"")/COUNTIF(Data!D2:D16,Data!D2:D16&amp;""))</f>
        <v>1.9999999999999998</v>
      </c>
      <c r="E14" s="22" t="str">
        <f>"Yes "&amp;COUNTIF(Data!D2:D16,"Yes")&amp;"   ·   No "&amp;COUNTIF(Data!D2:D16,"No")</f>
        <v>Yes 7   ·   No 8</v>
      </c>
    </row>
    <row r="15" spans="1:5" ht="15.6" x14ac:dyDescent="0.3">
      <c r="A15" s="9" t="s">
        <v>4</v>
      </c>
      <c r="B15" s="21" t="s">
        <v>62</v>
      </c>
      <c r="C15" s="22" t="s">
        <v>59</v>
      </c>
      <c r="D15" s="23">
        <f>SUMPRODUCT((Data!E2:E16&lt;&gt;"")/COUNTIF(Data!E2:E16,Data!E2:E16&amp;""))</f>
        <v>3.9999999999999996</v>
      </c>
      <c r="E15" s="22" t="str">
        <f>"++ "&amp;COUNTIF(Data!E2:E16,"++")&amp;"   ·   + "&amp;COUNTIF(Data!E2:E16,"+")&amp;"   ·   0 "&amp;COUNTIF(Data!E2:E16,0)&amp;"   ·   - "&amp;COUNTIF(Data!E2:E16,"-")</f>
        <v>++ 3   ·   + 4   ·   0 7   ·   - 1</v>
      </c>
    </row>
    <row r="16" spans="1:5" ht="31.2" x14ac:dyDescent="0.3">
      <c r="A16" s="9" t="s">
        <v>63</v>
      </c>
      <c r="B16" s="21" t="s">
        <v>64</v>
      </c>
      <c r="C16" s="22" t="s">
        <v>61</v>
      </c>
      <c r="D16" s="23">
        <f>SUMPRODUCT((Data!F2:F16&lt;&gt;"")/COUNTIF(Data!F2:F16,Data!F2:F16&amp;""))</f>
        <v>8</v>
      </c>
      <c r="E16" s="22" t="str">
        <f>MIN(Data!F2:F16)&amp;" to "&amp;MAX(Data!F2:F16)&amp;" mpg   ·   mean "&amp;TEXT(AVERAGE(Data!F2:F16),"0.0")</f>
        <v>21 to 31 mpg   ·   mean 24.4</v>
      </c>
    </row>
    <row r="17" spans="1:5" ht="31.2" x14ac:dyDescent="0.3">
      <c r="A17" s="9" t="s">
        <v>65</v>
      </c>
      <c r="B17" s="21" t="s">
        <v>64</v>
      </c>
      <c r="C17" s="22" t="s">
        <v>61</v>
      </c>
      <c r="D17" s="23">
        <f>SUMPRODUCT((Data!G2:G16&lt;&gt;"")/COUNTIF(Data!G2:G16,Data!G2:G16&amp;""))</f>
        <v>13</v>
      </c>
      <c r="E17" s="22" t="str">
        <f>MIN(Data!G2:G16)&amp;" to "&amp;MAX(Data!G2:G16)&amp;" sec   ·   mean "&amp;TEXT(AVERAGE(Data!G2:G16),"0.00")</f>
        <v>7.2 to 10.9 sec   ·   mean 9.31</v>
      </c>
    </row>
    <row r="19" spans="1:5" ht="19.95" customHeight="1" x14ac:dyDescent="0.3">
      <c r="A19" s="28" t="s">
        <v>66</v>
      </c>
      <c r="B19" s="29"/>
      <c r="C19" s="29"/>
      <c r="D19" s="29"/>
      <c r="E19" s="29"/>
    </row>
    <row r="20" spans="1:5" ht="41.4" x14ac:dyDescent="0.3">
      <c r="A20" s="11"/>
      <c r="B20" s="24" t="s">
        <v>2</v>
      </c>
      <c r="C20" s="24" t="s">
        <v>63</v>
      </c>
      <c r="D20" s="24" t="s">
        <v>67</v>
      </c>
    </row>
    <row r="21" spans="1:5" ht="15.6" x14ac:dyDescent="0.3">
      <c r="A21" s="7" t="s">
        <v>68</v>
      </c>
      <c r="B21" s="20">
        <f>COUNT(Data!C2:C16)</f>
        <v>15</v>
      </c>
      <c r="C21" s="20">
        <f>COUNT(Data!F2:F16)</f>
        <v>15</v>
      </c>
      <c r="D21" s="20">
        <f>COUNT(Data!G2:G16)</f>
        <v>15</v>
      </c>
    </row>
    <row r="22" spans="1:5" ht="15.6" x14ac:dyDescent="0.3">
      <c r="A22" s="7" t="s">
        <v>69</v>
      </c>
      <c r="B22" s="20">
        <f>MIN(Data!C2:C16)</f>
        <v>50</v>
      </c>
      <c r="C22" s="20">
        <f>MIN(Data!F2:F16)</f>
        <v>21</v>
      </c>
      <c r="D22" s="20">
        <f>MIN(Data!G2:G16)</f>
        <v>7.2</v>
      </c>
    </row>
    <row r="23" spans="1:5" ht="15.6" x14ac:dyDescent="0.3">
      <c r="A23" s="7" t="s">
        <v>70</v>
      </c>
      <c r="B23" s="20">
        <f>MAX(Data!C2:C16)</f>
        <v>84</v>
      </c>
      <c r="C23" s="20">
        <f>MAX(Data!F2:F16)</f>
        <v>31</v>
      </c>
      <c r="D23" s="20">
        <f>MAX(Data!G2:G16)</f>
        <v>10.9</v>
      </c>
    </row>
    <row r="24" spans="1:5" ht="15.6" x14ac:dyDescent="0.3">
      <c r="A24" s="7" t="s">
        <v>71</v>
      </c>
      <c r="B24" s="25">
        <f>AVERAGE(Data!C2:C16)</f>
        <v>67.266666666666666</v>
      </c>
      <c r="C24" s="25">
        <f>AVERAGE(Data!F2:F16)</f>
        <v>24.4</v>
      </c>
      <c r="D24" s="25">
        <f>AVERAGE(Data!G2:G16)</f>
        <v>9.3066666666666666</v>
      </c>
    </row>
    <row r="25" spans="1:5" ht="15.6" x14ac:dyDescent="0.3">
      <c r="A25" s="7" t="s">
        <v>72</v>
      </c>
      <c r="B25" s="25">
        <f>MEDIAN(Data!C2:C16)</f>
        <v>67</v>
      </c>
      <c r="C25" s="25">
        <f>MEDIAN(Data!F2:F16)</f>
        <v>24</v>
      </c>
      <c r="D25" s="25">
        <f>MEDIAN(Data!G2:G16)</f>
        <v>9.5</v>
      </c>
    </row>
    <row r="26" spans="1:5" ht="15.6" x14ac:dyDescent="0.3">
      <c r="A26" s="7" t="s">
        <v>73</v>
      </c>
      <c r="B26" s="26" t="e">
        <f ca="1">_xludf.STDEV.S(Data!C2:C16)</f>
        <v>#NAME?</v>
      </c>
      <c r="C26" s="26" t="e">
        <f ca="1">_xludf.STDEV.S(Data!F2:F16)</f>
        <v>#NAME?</v>
      </c>
      <c r="D26" s="26" t="e">
        <f ca="1">_xludf.STDEV.S(Data!G2:G16)</f>
        <v>#NAME?</v>
      </c>
    </row>
    <row r="28" spans="1:5" ht="19.95" customHeight="1" x14ac:dyDescent="0.3">
      <c r="A28" s="28" t="s">
        <v>74</v>
      </c>
      <c r="B28" s="29"/>
      <c r="C28" s="29"/>
      <c r="D28" s="29"/>
      <c r="E28" s="29"/>
    </row>
    <row r="29" spans="1:5" ht="15.6" x14ac:dyDescent="0.3">
      <c r="A29" s="12" t="s">
        <v>75</v>
      </c>
      <c r="B29" s="27">
        <f>AVERAGE(Data!E2:E16)</f>
        <v>0</v>
      </c>
      <c r="C29" s="13" t="s">
        <v>76</v>
      </c>
    </row>
    <row r="30" spans="1:5" ht="15.6" x14ac:dyDescent="0.3">
      <c r="A30" s="7" t="s">
        <v>77</v>
      </c>
      <c r="B30" s="20">
        <f>COUNT(Data!E2:E16)</f>
        <v>7</v>
      </c>
      <c r="C30" s="6" t="s">
        <v>78</v>
      </c>
    </row>
    <row r="31" spans="1:5" ht="15.6" x14ac:dyDescent="0.3">
      <c r="A31" s="7" t="s">
        <v>79</v>
      </c>
      <c r="B31" s="20">
        <f>COUNTA(Data!E2:E16)</f>
        <v>15</v>
      </c>
      <c r="C31" s="6" t="s">
        <v>80</v>
      </c>
    </row>
    <row r="33" spans="1:5" ht="19.95" customHeight="1" x14ac:dyDescent="0.3">
      <c r="A33" s="28" t="s">
        <v>81</v>
      </c>
      <c r="B33" s="29"/>
      <c r="C33" s="29"/>
      <c r="D33" s="29"/>
      <c r="E33" s="29"/>
    </row>
    <row r="34" spans="1:5" ht="15.6" x14ac:dyDescent="0.3">
      <c r="A34" s="7" t="s">
        <v>82</v>
      </c>
      <c r="B34" s="20" t="e">
        <f ca="1">_xludf.MINIFS(Data!C2:C16,Data!D2:D16,"Yes")</f>
        <v>#NAME?</v>
      </c>
      <c r="C34" s="6"/>
    </row>
    <row r="35" spans="1:5" ht="15.6" x14ac:dyDescent="0.3">
      <c r="A35" s="7" t="s">
        <v>83</v>
      </c>
      <c r="B35" s="20" t="e">
        <f ca="1">_xludf.MAXIFS(Data!C2:C16,Data!D2:D16,"No")</f>
        <v>#NAME?</v>
      </c>
      <c r="C35" s="6"/>
    </row>
    <row r="36" spans="1:5" x14ac:dyDescent="0.3">
      <c r="A36" s="33" t="s">
        <v>84</v>
      </c>
      <c r="B36" s="29"/>
      <c r="C36" s="29"/>
      <c r="D36" s="29"/>
      <c r="E36" s="29"/>
    </row>
    <row r="38" spans="1:5" ht="19.95" customHeight="1" x14ac:dyDescent="0.3">
      <c r="A38" s="28" t="s">
        <v>85</v>
      </c>
      <c r="B38" s="29"/>
      <c r="C38" s="29"/>
      <c r="D38" s="29"/>
      <c r="E38" s="29"/>
    </row>
    <row r="39" spans="1:5" x14ac:dyDescent="0.3">
      <c r="A39" s="8" t="s">
        <v>86</v>
      </c>
      <c r="B39" s="8"/>
      <c r="C39" s="8" t="s">
        <v>87</v>
      </c>
      <c r="D39" s="8" t="s">
        <v>88</v>
      </c>
    </row>
    <row r="40" spans="1:5" ht="31.2" x14ac:dyDescent="0.3">
      <c r="A40" s="9" t="s">
        <v>89</v>
      </c>
      <c r="B40" s="10"/>
      <c r="C40" s="22" t="s">
        <v>90</v>
      </c>
      <c r="D40" s="22" t="s">
        <v>91</v>
      </c>
    </row>
    <row r="41" spans="1:5" ht="31.2" x14ac:dyDescent="0.3">
      <c r="A41" s="9" t="s">
        <v>4</v>
      </c>
      <c r="B41" s="10"/>
      <c r="C41" s="22" t="s">
        <v>92</v>
      </c>
      <c r="D41" s="22" t="s">
        <v>93</v>
      </c>
    </row>
    <row r="42" spans="1:5" ht="15.6" x14ac:dyDescent="0.3">
      <c r="A42" s="9" t="s">
        <v>2</v>
      </c>
      <c r="B42" s="10"/>
      <c r="C42" s="22" t="s">
        <v>94</v>
      </c>
      <c r="D42" s="22" t="s">
        <v>95</v>
      </c>
    </row>
    <row r="43" spans="1:5" ht="15.6" x14ac:dyDescent="0.3">
      <c r="A43" s="9" t="s">
        <v>3</v>
      </c>
      <c r="B43" s="10"/>
      <c r="C43" s="22" t="s">
        <v>96</v>
      </c>
      <c r="D43" s="22" t="s">
        <v>97</v>
      </c>
    </row>
    <row r="44" spans="1:5" x14ac:dyDescent="0.3">
      <c r="A44" s="33" t="s">
        <v>98</v>
      </c>
      <c r="B44" s="29"/>
      <c r="C44" s="29"/>
      <c r="D44" s="29"/>
      <c r="E44" s="29"/>
    </row>
    <row r="46" spans="1:5" ht="19.95" customHeight="1" x14ac:dyDescent="0.3">
      <c r="A46" s="28" t="s">
        <v>99</v>
      </c>
      <c r="B46" s="29"/>
      <c r="C46" s="29"/>
      <c r="D46" s="29"/>
      <c r="E46" s="29"/>
    </row>
    <row r="47" spans="1:5" x14ac:dyDescent="0.3">
      <c r="A47" s="8" t="s">
        <v>100</v>
      </c>
      <c r="B47" s="8" t="s">
        <v>101</v>
      </c>
      <c r="C47" s="8" t="s">
        <v>102</v>
      </c>
      <c r="D47" s="36" t="s">
        <v>103</v>
      </c>
      <c r="E47" s="31"/>
    </row>
    <row r="48" spans="1:5" ht="24" customHeight="1" x14ac:dyDescent="0.3">
      <c r="A48" s="14" t="s">
        <v>104</v>
      </c>
      <c r="B48" s="15" t="s">
        <v>105</v>
      </c>
      <c r="C48" s="16" t="s">
        <v>106</v>
      </c>
      <c r="D48" s="34"/>
      <c r="E48" s="31"/>
    </row>
    <row r="49" spans="1:5" ht="24" customHeight="1" x14ac:dyDescent="0.3">
      <c r="A49" s="14" t="s">
        <v>107</v>
      </c>
      <c r="B49" s="15" t="s">
        <v>105</v>
      </c>
      <c r="C49" s="16" t="s">
        <v>108</v>
      </c>
      <c r="D49" s="32" t="s">
        <v>109</v>
      </c>
      <c r="E49" s="31"/>
    </row>
    <row r="50" spans="1:5" ht="24" customHeight="1" x14ac:dyDescent="0.3">
      <c r="A50" s="14" t="s">
        <v>53</v>
      </c>
      <c r="B50" s="15" t="s">
        <v>105</v>
      </c>
      <c r="C50" s="16" t="s">
        <v>110</v>
      </c>
      <c r="D50" s="32" t="s">
        <v>111</v>
      </c>
      <c r="E50" s="31"/>
    </row>
    <row r="51" spans="1:5" ht="24" customHeight="1" x14ac:dyDescent="0.3">
      <c r="A51" s="14" t="s">
        <v>112</v>
      </c>
      <c r="B51" s="15" t="s">
        <v>105</v>
      </c>
      <c r="C51" s="16" t="s">
        <v>113</v>
      </c>
      <c r="D51" s="32" t="s">
        <v>114</v>
      </c>
      <c r="E51" s="31"/>
    </row>
    <row r="52" spans="1:5" ht="24" customHeight="1" x14ac:dyDescent="0.3">
      <c r="A52" s="14" t="s">
        <v>115</v>
      </c>
      <c r="B52" s="15" t="s">
        <v>105</v>
      </c>
      <c r="C52" s="16" t="s">
        <v>116</v>
      </c>
      <c r="D52" s="32" t="s">
        <v>117</v>
      </c>
      <c r="E52" s="31"/>
    </row>
    <row r="53" spans="1:5" ht="34.049999999999997" customHeight="1" x14ac:dyDescent="0.3">
      <c r="A53" s="14" t="s">
        <v>118</v>
      </c>
      <c r="B53" s="15" t="s">
        <v>105</v>
      </c>
      <c r="C53" s="16" t="s">
        <v>119</v>
      </c>
      <c r="D53" s="32" t="s">
        <v>120</v>
      </c>
      <c r="E53" s="31"/>
    </row>
    <row r="54" spans="1:5" ht="34.049999999999997" customHeight="1" x14ac:dyDescent="0.3">
      <c r="A54" s="14" t="s">
        <v>121</v>
      </c>
      <c r="B54" s="15" t="s">
        <v>105</v>
      </c>
      <c r="C54" s="16" t="s">
        <v>122</v>
      </c>
      <c r="D54" s="32" t="s">
        <v>123</v>
      </c>
      <c r="E54" s="31"/>
    </row>
    <row r="55" spans="1:5" ht="34.049999999999997" customHeight="1" x14ac:dyDescent="0.3">
      <c r="A55" s="14" t="s">
        <v>124</v>
      </c>
      <c r="B55" s="15" t="s">
        <v>105</v>
      </c>
      <c r="C55" s="16" t="s">
        <v>125</v>
      </c>
      <c r="D55" s="32" t="s">
        <v>126</v>
      </c>
      <c r="E55" s="31"/>
    </row>
    <row r="56" spans="1:5" ht="34.049999999999997" customHeight="1" x14ac:dyDescent="0.3">
      <c r="A56" s="14" t="s">
        <v>127</v>
      </c>
      <c r="B56" s="15" t="s">
        <v>105</v>
      </c>
      <c r="C56" s="16" t="s">
        <v>128</v>
      </c>
      <c r="D56" s="32" t="s">
        <v>129</v>
      </c>
      <c r="E56" s="31"/>
    </row>
    <row r="57" spans="1:5" ht="34.049999999999997" customHeight="1" x14ac:dyDescent="0.3">
      <c r="A57" s="14" t="s">
        <v>130</v>
      </c>
      <c r="B57" s="15" t="s">
        <v>105</v>
      </c>
      <c r="C57" s="16" t="s">
        <v>131</v>
      </c>
      <c r="D57" s="32" t="s">
        <v>132</v>
      </c>
      <c r="E57" s="31"/>
    </row>
    <row r="58" spans="1:5" ht="24" customHeight="1" x14ac:dyDescent="0.3">
      <c r="A58" s="14" t="s">
        <v>133</v>
      </c>
      <c r="B58" s="15" t="s">
        <v>105</v>
      </c>
      <c r="C58" s="16" t="s">
        <v>134</v>
      </c>
      <c r="D58" s="34"/>
      <c r="E58" s="31"/>
    </row>
    <row r="59" spans="1:5" ht="34.049999999999997" customHeight="1" x14ac:dyDescent="0.3">
      <c r="A59" s="14" t="s">
        <v>135</v>
      </c>
      <c r="B59" s="15" t="s">
        <v>105</v>
      </c>
      <c r="C59" s="16" t="s">
        <v>136</v>
      </c>
      <c r="D59" s="32" t="s">
        <v>137</v>
      </c>
      <c r="E59" s="31"/>
    </row>
    <row r="60" spans="1:5" ht="24" customHeight="1" x14ac:dyDescent="0.3">
      <c r="A60" s="14" t="s">
        <v>138</v>
      </c>
      <c r="B60" s="15" t="s">
        <v>105</v>
      </c>
      <c r="C60" s="16" t="s">
        <v>139</v>
      </c>
      <c r="D60" s="34"/>
      <c r="E60" s="31"/>
    </row>
    <row r="61" spans="1:5" ht="24" customHeight="1" x14ac:dyDescent="0.3">
      <c r="A61" s="14" t="s">
        <v>140</v>
      </c>
      <c r="B61" s="15" t="s">
        <v>105</v>
      </c>
      <c r="C61" s="16" t="s">
        <v>141</v>
      </c>
      <c r="D61" s="32" t="s">
        <v>142</v>
      </c>
      <c r="E61" s="31"/>
    </row>
    <row r="62" spans="1:5" ht="24" customHeight="1" x14ac:dyDescent="0.3">
      <c r="A62" s="14" t="s">
        <v>143</v>
      </c>
      <c r="B62" s="15" t="s">
        <v>105</v>
      </c>
      <c r="C62" s="16" t="s">
        <v>144</v>
      </c>
      <c r="D62" s="32" t="s">
        <v>145</v>
      </c>
      <c r="E62" s="31"/>
    </row>
    <row r="63" spans="1:5" ht="24" customHeight="1" x14ac:dyDescent="0.3">
      <c r="A63" s="14" t="s">
        <v>146</v>
      </c>
      <c r="B63" s="15" t="s">
        <v>147</v>
      </c>
      <c r="C63" s="16" t="s">
        <v>148</v>
      </c>
      <c r="D63" s="32" t="s">
        <v>149</v>
      </c>
      <c r="E63" s="31"/>
    </row>
    <row r="64" spans="1:5" ht="24" customHeight="1" x14ac:dyDescent="0.3">
      <c r="A64" s="14" t="s">
        <v>150</v>
      </c>
      <c r="B64" s="15" t="s">
        <v>151</v>
      </c>
      <c r="C64" s="16" t="s">
        <v>152</v>
      </c>
      <c r="D64" s="32" t="s">
        <v>153</v>
      </c>
      <c r="E64" s="31"/>
    </row>
    <row r="65" spans="1:5" ht="24" customHeight="1" x14ac:dyDescent="0.3">
      <c r="A65" s="14" t="s">
        <v>154</v>
      </c>
      <c r="B65" s="15" t="s">
        <v>151</v>
      </c>
      <c r="C65" s="16" t="s">
        <v>155</v>
      </c>
      <c r="D65" s="32" t="s">
        <v>156</v>
      </c>
      <c r="E65" s="31"/>
    </row>
    <row r="66" spans="1:5" ht="24" customHeight="1" x14ac:dyDescent="0.3">
      <c r="A66" s="14" t="s">
        <v>157</v>
      </c>
      <c r="B66" s="15" t="s">
        <v>151</v>
      </c>
      <c r="C66" s="16" t="s">
        <v>158</v>
      </c>
      <c r="D66" s="34"/>
      <c r="E66" s="31"/>
    </row>
    <row r="67" spans="1:5" ht="24" customHeight="1" x14ac:dyDescent="0.3">
      <c r="A67" s="14" t="s">
        <v>159</v>
      </c>
      <c r="B67" s="15" t="s">
        <v>151</v>
      </c>
      <c r="C67" s="16" t="s">
        <v>160</v>
      </c>
      <c r="D67" s="34"/>
      <c r="E67" s="31"/>
    </row>
    <row r="68" spans="1:5" ht="34.049999999999997" customHeight="1" x14ac:dyDescent="0.3">
      <c r="A68" s="14" t="s">
        <v>161</v>
      </c>
      <c r="B68" s="15" t="s">
        <v>151</v>
      </c>
      <c r="C68" s="16" t="s">
        <v>162</v>
      </c>
      <c r="D68" s="32" t="s">
        <v>163</v>
      </c>
      <c r="E68" s="31"/>
    </row>
    <row r="69" spans="1:5" ht="24" customHeight="1" x14ac:dyDescent="0.3">
      <c r="A69" s="14" t="s">
        <v>164</v>
      </c>
      <c r="B69" s="15" t="s">
        <v>165</v>
      </c>
      <c r="C69" s="16" t="s">
        <v>166</v>
      </c>
      <c r="D69" s="34"/>
      <c r="E69" s="31"/>
    </row>
    <row r="70" spans="1:5" ht="24" customHeight="1" x14ac:dyDescent="0.3">
      <c r="A70" s="17" t="s">
        <v>167</v>
      </c>
      <c r="B70" s="18" t="s">
        <v>168</v>
      </c>
      <c r="C70" s="19" t="s">
        <v>169</v>
      </c>
      <c r="D70" s="30"/>
      <c r="E70" s="31"/>
    </row>
    <row r="71" spans="1:5" ht="24" customHeight="1" x14ac:dyDescent="0.3">
      <c r="A71" s="17" t="s">
        <v>170</v>
      </c>
      <c r="B71" s="18" t="s">
        <v>168</v>
      </c>
      <c r="C71" s="19" t="s">
        <v>171</v>
      </c>
      <c r="D71" s="30"/>
      <c r="E71" s="31"/>
    </row>
    <row r="72" spans="1:5" ht="34.049999999999997" customHeight="1" x14ac:dyDescent="0.3">
      <c r="A72" s="17" t="s">
        <v>172</v>
      </c>
      <c r="B72" s="18" t="s">
        <v>168</v>
      </c>
      <c r="C72" s="19" t="s">
        <v>173</v>
      </c>
      <c r="D72" s="30"/>
      <c r="E72" s="31"/>
    </row>
    <row r="73" spans="1:5" ht="24" customHeight="1" x14ac:dyDescent="0.3">
      <c r="A73" s="17" t="s">
        <v>174</v>
      </c>
      <c r="B73" s="18" t="s">
        <v>168</v>
      </c>
      <c r="C73" s="19" t="s">
        <v>175</v>
      </c>
      <c r="D73" s="30"/>
      <c r="E73" s="31"/>
    </row>
    <row r="74" spans="1:5" ht="34.049999999999997" customHeight="1" x14ac:dyDescent="0.3">
      <c r="A74" s="17" t="s">
        <v>176</v>
      </c>
      <c r="B74" s="18" t="s">
        <v>177</v>
      </c>
      <c r="C74" s="19" t="s">
        <v>178</v>
      </c>
      <c r="D74" s="30"/>
      <c r="E74" s="31"/>
    </row>
    <row r="75" spans="1:5" ht="34.049999999999997" customHeight="1" x14ac:dyDescent="0.3">
      <c r="A75" s="17" t="s">
        <v>179</v>
      </c>
      <c r="B75" s="18" t="s">
        <v>177</v>
      </c>
      <c r="C75" s="19" t="s">
        <v>180</v>
      </c>
      <c r="D75" s="30"/>
      <c r="E75" s="31"/>
    </row>
    <row r="76" spans="1:5" x14ac:dyDescent="0.3">
      <c r="A76" s="33" t="s">
        <v>181</v>
      </c>
      <c r="B76" s="29"/>
      <c r="C76" s="29"/>
      <c r="D76" s="29"/>
      <c r="E76" s="29"/>
    </row>
  </sheetData>
  <mergeCells count="41">
    <mergeCell ref="A1:E1"/>
    <mergeCell ref="A36:E36"/>
    <mergeCell ref="D65:E65"/>
    <mergeCell ref="D52:E52"/>
    <mergeCell ref="D49:E49"/>
    <mergeCell ref="D57:E57"/>
    <mergeCell ref="D61:E61"/>
    <mergeCell ref="A46:E46"/>
    <mergeCell ref="D47:E47"/>
    <mergeCell ref="A2:E2"/>
    <mergeCell ref="A4:E4"/>
    <mergeCell ref="A10:E10"/>
    <mergeCell ref="A28:E28"/>
    <mergeCell ref="D75:E75"/>
    <mergeCell ref="D53:E53"/>
    <mergeCell ref="D72:E72"/>
    <mergeCell ref="D69:E69"/>
    <mergeCell ref="D60:E60"/>
    <mergeCell ref="D63:E63"/>
    <mergeCell ref="A76:E76"/>
    <mergeCell ref="A33:E33"/>
    <mergeCell ref="D62:E62"/>
    <mergeCell ref="A44:E44"/>
    <mergeCell ref="D56:E56"/>
    <mergeCell ref="D58:E58"/>
    <mergeCell ref="D71:E71"/>
    <mergeCell ref="D74:E74"/>
    <mergeCell ref="D55:E55"/>
    <mergeCell ref="D68:E68"/>
    <mergeCell ref="A38:E38"/>
    <mergeCell ref="D64:E64"/>
    <mergeCell ref="D67:E67"/>
    <mergeCell ref="D51:E51"/>
    <mergeCell ref="D70:E70"/>
    <mergeCell ref="D66:E66"/>
    <mergeCell ref="A19:E19"/>
    <mergeCell ref="D73:E73"/>
    <mergeCell ref="D54:E54"/>
    <mergeCell ref="D50:E50"/>
    <mergeCell ref="D59:E59"/>
    <mergeCell ref="D48:E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Swift, Xuying</cp:lastModifiedBy>
  <dcterms:created xsi:type="dcterms:W3CDTF">2018-05-25T17:49:44Z</dcterms:created>
  <dcterms:modified xsi:type="dcterms:W3CDTF">2026-09-01T17:14:44Z</dcterms:modified>
</cp:coreProperties>
</file>