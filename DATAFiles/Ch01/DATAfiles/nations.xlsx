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5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$#,##0"/>
  </numFmts>
  <fonts count="13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b val="1"/>
      <color rgb="000E3160"/>
      <sz val="14"/>
    </font>
    <font>
      <i val="1"/>
      <color rgb="005C687A"/>
      <sz val="9"/>
    </font>
    <font>
      <b val="1"/>
      <color rgb="00FFFFFF"/>
      <sz val="11"/>
    </font>
    <font>
      <b val="1"/>
    </font>
    <font>
      <b val="1"/>
      <color rgb="000E3160"/>
      <sz val="10"/>
    </font>
    <font>
      <b val="1"/>
      <sz val="10"/>
    </font>
    <font>
      <color rgb="005C687A"/>
      <sz val="9"/>
    </font>
    <font>
      <sz val="10"/>
    </font>
    <font>
      <i val="1"/>
      <color rgb="000E3160"/>
      <sz val="9"/>
    </font>
  </fonts>
  <fills count="6">
    <fill>
      <patternFill/>
    </fill>
    <fill>
      <patternFill patternType="gray125"/>
    </fill>
    <fill>
      <patternFill patternType="solid">
        <fgColor rgb="000E3160"/>
      </patternFill>
    </fill>
    <fill>
      <patternFill patternType="solid">
        <fgColor rgb="00E8EDF5"/>
      </patternFill>
    </fill>
    <fill>
      <patternFill patternType="solid">
        <fgColor rgb="00F5EFDF"/>
      </patternFill>
    </fill>
    <fill>
      <patternFill patternType="solid">
        <fgColor rgb="00F7F8FA"/>
      </patternFill>
    </fill>
  </fills>
  <borders count="5">
    <border>
      <left/>
      <right/>
      <top/>
      <bottom/>
      <diagonal/>
    </border>
    <border>
      <left style="thin">
        <color rgb="00C9D0D9"/>
      </left>
      <right style="thin">
        <color rgb="00C9D0D9"/>
      </right>
      <top style="thin">
        <color rgb="00C9D0D9"/>
      </top>
      <bottom style="thin">
        <color rgb="00C9D0D9"/>
      </bottom>
    </border>
    <border>
      <left/>
      <right/>
      <top style="thin">
        <color rgb="00C9D0D9"/>
      </top>
      <bottom/>
      <diagonal/>
    </border>
    <border>
      <left/>
      <right style="thin">
        <color rgb="00C9D0D9"/>
      </right>
      <top style="thin">
        <color rgb="00C9D0D9"/>
      </top>
      <bottom/>
      <diagonal/>
    </border>
    <border>
      <left/>
      <right style="thin">
        <color rgb="00C9D0D9"/>
      </right>
      <top style="thin">
        <color rgb="00C9D0D9"/>
      </top>
      <bottom style="thin">
        <color rgb="00C9D0D9"/>
      </bottom>
      <diagonal/>
    </border>
  </borders>
  <cellStyleXfs count="2">
    <xf numFmtId="0" fontId="1" fillId="0" borderId="0"/>
    <xf numFmtId="43" fontId="1" fillId="0" borderId="0"/>
  </cellStyleXfs>
  <cellXfs count="3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1">
      <alignment horizontal="center"/>
    </xf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/>
    </xf>
    <xf numFmtId="0" fontId="7" fillId="0" borderId="1" pivotButton="0" quotePrefix="0" xfId="0"/>
    <xf numFmtId="0" fontId="0" fillId="0" borderId="1" applyAlignment="1" pivotButton="0" quotePrefix="0" xfId="0">
      <alignment horizontal="right"/>
    </xf>
    <xf numFmtId="0" fontId="8" fillId="3" borderId="1" applyAlignment="1" pivotButton="0" quotePrefix="0" xfId="0">
      <alignment vertical="bottom" wrapText="1"/>
    </xf>
    <xf numFmtId="0" fontId="7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165" fontId="0" fillId="0" borderId="1" pivotButton="0" quotePrefix="0" xfId="0"/>
    <xf numFmtId="0" fontId="0" fillId="0" borderId="1" pivotButton="0" quotePrefix="0" xfId="0"/>
    <xf numFmtId="0" fontId="7" fillId="4" borderId="1" pivotButton="0" quotePrefix="0" xfId="0"/>
    <xf numFmtId="0" fontId="0" fillId="4" borderId="1" pivotButton="0" quotePrefix="0" xfId="0"/>
    <xf numFmtId="0" fontId="5" fillId="4" borderId="0" pivotButton="0" quotePrefix="0" xfId="0"/>
    <xf numFmtId="0" fontId="7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9" fillId="0" borderId="1" applyAlignment="1" pivotButton="0" quotePrefix="0" xfId="0">
      <alignment horizontal="left" vertical="top"/>
    </xf>
    <xf numFmtId="0" fontId="10" fillId="0" borderId="1" applyAlignment="1" pivotButton="0" quotePrefix="0" xfId="0">
      <alignment horizontal="center" vertical="top"/>
    </xf>
    <xf numFmtId="0" fontId="11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/>
    </xf>
    <xf numFmtId="0" fontId="10" fillId="5" borderId="1" applyAlignment="1" pivotButton="0" quotePrefix="0" xfId="0">
      <alignment horizontal="center" vertical="top"/>
    </xf>
    <xf numFmtId="0" fontId="11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</cellXfs>
  <cellStyles count="2">
    <cellStyle name="Normal" xfId="0" builtinId="0"/>
    <cellStyle name="Comma" xfId="1" builtinId="3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tabSelected="1" workbookViewId="0">
      <selection activeCell="A1" sqref="A1"/>
    </sheetView>
  </sheetViews>
  <sheetFormatPr baseColWidth="8" defaultColWidth="9" defaultRowHeight="14.5"/>
  <cols>
    <col width="13.83203125" bestFit="1" customWidth="1" style="2" min="1" max="1"/>
    <col width="13.33203125" customWidth="1" style="2" min="2" max="2"/>
    <col width="17.58203125" customWidth="1" style="2" min="3" max="3"/>
    <col width="15" customWidth="1" style="3" min="4" max="4"/>
    <col width="17.33203125" customWidth="1" style="3" min="5" max="5"/>
    <col width="9" customWidth="1" style="2" min="6" max="16384"/>
  </cols>
  <sheetData>
    <row r="1">
      <c r="A1" s="6" t="inlineStr">
        <is>
          <t>Nation</t>
        </is>
      </c>
      <c r="B1" s="1" t="inlineStr">
        <is>
          <t>WTO Status</t>
        </is>
      </c>
      <c r="C1" s="1" t="inlineStr">
        <is>
          <t>Per Capita GDP ($)</t>
        </is>
      </c>
      <c r="D1" s="1" t="inlineStr">
        <is>
          <t>Fitch Rating</t>
        </is>
      </c>
      <c r="E1" s="1" t="inlineStr">
        <is>
          <t>Fitch Outlook</t>
        </is>
      </c>
    </row>
    <row r="2">
      <c r="A2" s="5" t="inlineStr">
        <is>
          <t>Armenia</t>
        </is>
      </c>
      <c r="B2" s="3" t="inlineStr">
        <is>
          <t>Member</t>
        </is>
      </c>
      <c r="C2" s="4" t="n">
        <v>4267</v>
      </c>
      <c r="D2" s="5" t="inlineStr">
        <is>
          <t>B+</t>
        </is>
      </c>
      <c r="E2" s="5" t="inlineStr">
        <is>
          <t>Stable</t>
        </is>
      </c>
    </row>
    <row r="3">
      <c r="A3" s="5" t="inlineStr">
        <is>
          <t>Australia</t>
        </is>
      </c>
      <c r="B3" s="3" t="inlineStr">
        <is>
          <t>Member</t>
        </is>
      </c>
      <c r="C3" s="4" t="n">
        <v>51812</v>
      </c>
      <c r="D3" s="5" t="inlineStr">
        <is>
          <t>AAA</t>
        </is>
      </c>
      <c r="E3" s="5" t="inlineStr">
        <is>
          <t>Negative</t>
        </is>
      </c>
    </row>
    <row r="4">
      <c r="A4" s="5" t="inlineStr">
        <is>
          <t>Austria</t>
        </is>
      </c>
      <c r="B4" s="3" t="inlineStr">
        <is>
          <t>Member</t>
        </is>
      </c>
      <c r="C4" s="4" t="n">
        <v>48328</v>
      </c>
      <c r="D4" s="5" t="inlineStr">
        <is>
          <t>AA+</t>
        </is>
      </c>
      <c r="E4" s="5" t="inlineStr">
        <is>
          <t>Stable</t>
        </is>
      </c>
    </row>
    <row r="5">
      <c r="A5" s="5" t="inlineStr">
        <is>
          <t>Azerbaijan</t>
        </is>
      </c>
      <c r="B5" s="3" t="inlineStr">
        <is>
          <t>Observer</t>
        </is>
      </c>
      <c r="C5" s="4" t="n">
        <v>4214</v>
      </c>
      <c r="D5" s="5" t="inlineStr">
        <is>
          <t>BB+</t>
        </is>
      </c>
      <c r="E5" s="5" t="inlineStr">
        <is>
          <t>Stable</t>
        </is>
      </c>
    </row>
    <row r="6">
      <c r="A6" s="5" t="inlineStr">
        <is>
          <t>Bahrain</t>
        </is>
      </c>
      <c r="B6" s="3" t="inlineStr">
        <is>
          <t>Member</t>
        </is>
      </c>
      <c r="C6" s="4" t="n">
        <v>28608</v>
      </c>
      <c r="D6" s="5" t="inlineStr">
        <is>
          <t>B+</t>
        </is>
      </c>
      <c r="E6" s="5" t="inlineStr">
        <is>
          <t>Stable</t>
        </is>
      </c>
    </row>
    <row r="7">
      <c r="A7" s="5" t="inlineStr">
        <is>
          <t>Belgium</t>
        </is>
      </c>
      <c r="B7" s="3" t="inlineStr">
        <is>
          <t>Member</t>
        </is>
      </c>
      <c r="C7" s="4" t="n">
        <v>44594</v>
      </c>
      <c r="D7" s="5" t="inlineStr">
        <is>
          <t>AA-</t>
        </is>
      </c>
      <c r="E7" s="5" t="inlineStr">
        <is>
          <t>Negative</t>
        </is>
      </c>
    </row>
    <row r="8">
      <c r="A8" s="5" t="inlineStr">
        <is>
          <t>Brazil</t>
        </is>
      </c>
      <c r="B8" s="3" t="inlineStr">
        <is>
          <t>Member</t>
        </is>
      </c>
      <c r="C8" s="4" t="n">
        <v>6797</v>
      </c>
      <c r="D8" s="5" t="inlineStr">
        <is>
          <t>BB-</t>
        </is>
      </c>
      <c r="E8" s="5" t="inlineStr">
        <is>
          <t>Negative</t>
        </is>
      </c>
    </row>
    <row r="9">
      <c r="A9" s="5" t="inlineStr">
        <is>
          <t>Bulgaria</t>
        </is>
      </c>
      <c r="B9" s="3" t="inlineStr">
        <is>
          <t>Member</t>
        </is>
      </c>
      <c r="C9" s="4" t="n">
        <v>9976</v>
      </c>
      <c r="D9" s="5" t="inlineStr">
        <is>
          <t>BBB</t>
        </is>
      </c>
      <c r="E9" s="5" t="inlineStr">
        <is>
          <t>Positive</t>
        </is>
      </c>
    </row>
    <row r="10">
      <c r="A10" s="5" t="inlineStr">
        <is>
          <t>Canada</t>
        </is>
      </c>
      <c r="B10" s="3" t="inlineStr">
        <is>
          <t>Member</t>
        </is>
      </c>
      <c r="C10" s="4" t="n">
        <v>43258</v>
      </c>
      <c r="D10" s="5" t="inlineStr">
        <is>
          <t>AA+</t>
        </is>
      </c>
      <c r="E10" s="5" t="inlineStr">
        <is>
          <t>Stable</t>
        </is>
      </c>
    </row>
    <row r="11">
      <c r="A11" s="5" t="inlineStr">
        <is>
          <t>Cape Verde</t>
        </is>
      </c>
      <c r="B11" s="3" t="inlineStr">
        <is>
          <t>Member</t>
        </is>
      </c>
      <c r="C11" s="4" t="n">
        <v>43258</v>
      </c>
      <c r="D11" s="5" t="inlineStr">
        <is>
          <t>B-</t>
        </is>
      </c>
      <c r="E11" s="5" t="inlineStr">
        <is>
          <t>Stable</t>
        </is>
      </c>
    </row>
    <row r="12">
      <c r="A12" s="5" t="inlineStr">
        <is>
          <t>Chile</t>
        </is>
      </c>
      <c r="B12" s="3" t="inlineStr">
        <is>
          <t>Member</t>
        </is>
      </c>
      <c r="C12" s="4" t="n">
        <v>13232</v>
      </c>
      <c r="D12" s="5" t="inlineStr">
        <is>
          <t>A-</t>
        </is>
      </c>
      <c r="E12" s="5" t="inlineStr">
        <is>
          <t>Stable</t>
        </is>
      </c>
    </row>
    <row r="13">
      <c r="A13" s="5" t="inlineStr">
        <is>
          <t>China</t>
        </is>
      </c>
      <c r="B13" s="3" t="inlineStr">
        <is>
          <t>Member</t>
        </is>
      </c>
      <c r="C13" s="4" t="n">
        <v>10500</v>
      </c>
      <c r="D13" s="5" t="inlineStr">
        <is>
          <t>A+</t>
        </is>
      </c>
      <c r="E13" s="5" t="inlineStr">
        <is>
          <t>Stable</t>
        </is>
      </c>
    </row>
    <row r="14">
      <c r="A14" s="5" t="inlineStr">
        <is>
          <t>Colombia</t>
        </is>
      </c>
      <c r="B14" s="3" t="inlineStr">
        <is>
          <t>Member</t>
        </is>
      </c>
      <c r="C14" s="4" t="n">
        <v>5333</v>
      </c>
      <c r="D14" s="5" t="inlineStr">
        <is>
          <t>BBB-</t>
        </is>
      </c>
      <c r="E14" s="5" t="inlineStr">
        <is>
          <t>Negative</t>
        </is>
      </c>
    </row>
    <row r="15">
      <c r="A15" s="5" t="inlineStr">
        <is>
          <t>CoStable Rica</t>
        </is>
      </c>
      <c r="B15" s="3" t="inlineStr">
        <is>
          <t>Member</t>
        </is>
      </c>
      <c r="C15" s="4" t="n">
        <v>12077</v>
      </c>
      <c r="D15" s="5" t="inlineStr">
        <is>
          <t>B</t>
        </is>
      </c>
      <c r="E15" s="5" t="inlineStr">
        <is>
          <t>Negative</t>
        </is>
      </c>
    </row>
    <row r="16">
      <c r="A16" s="5" t="inlineStr">
        <is>
          <t>Croatia</t>
        </is>
      </c>
      <c r="B16" s="3" t="inlineStr">
        <is>
          <t>Member</t>
        </is>
      </c>
      <c r="C16" s="4" t="n">
        <v>13828</v>
      </c>
      <c r="D16" s="5" t="inlineStr">
        <is>
          <t>BBB-</t>
        </is>
      </c>
      <c r="E16" s="5" t="inlineStr">
        <is>
          <t>Stable</t>
        </is>
      </c>
    </row>
    <row r="17">
      <c r="A17" s="5" t="inlineStr">
        <is>
          <t>Cyprus</t>
        </is>
      </c>
      <c r="B17" s="3" t="inlineStr">
        <is>
          <t>Member</t>
        </is>
      </c>
      <c r="C17" s="4" t="n">
        <v>26624</v>
      </c>
      <c r="D17" s="5" t="inlineStr">
        <is>
          <t>BBB-</t>
        </is>
      </c>
      <c r="E17" s="5" t="inlineStr">
        <is>
          <t>Stable</t>
        </is>
      </c>
    </row>
    <row r="18">
      <c r="A18" s="5" t="inlineStr">
        <is>
          <t>Czech Republic</t>
        </is>
      </c>
      <c r="B18" s="3" t="inlineStr">
        <is>
          <t>Member</t>
        </is>
      </c>
      <c r="C18" s="4" t="n">
        <v>22932</v>
      </c>
      <c r="D18" s="5" t="inlineStr">
        <is>
          <t>AA-</t>
        </is>
      </c>
      <c r="E18" s="5" t="inlineStr">
        <is>
          <t>Stable</t>
        </is>
      </c>
    </row>
    <row r="19">
      <c r="A19" s="5" t="inlineStr">
        <is>
          <t>Denmark</t>
        </is>
      </c>
      <c r="B19" s="3" t="inlineStr">
        <is>
          <t>Member</t>
        </is>
      </c>
      <c r="C19" s="4" t="n">
        <v>61063</v>
      </c>
      <c r="D19" s="5" t="inlineStr">
        <is>
          <t>AAA</t>
        </is>
      </c>
      <c r="E19" s="5" t="inlineStr">
        <is>
          <t>Stable</t>
        </is>
      </c>
    </row>
    <row r="20">
      <c r="A20" s="5" t="inlineStr">
        <is>
          <t>Ecuador</t>
        </is>
      </c>
      <c r="B20" s="3" t="inlineStr">
        <is>
          <t>Member</t>
        </is>
      </c>
      <c r="C20" s="4" t="n">
        <v>5600</v>
      </c>
      <c r="D20" s="5" t="inlineStr">
        <is>
          <t>B-</t>
        </is>
      </c>
      <c r="E20" s="5" t="inlineStr">
        <is>
          <t>Stable</t>
        </is>
      </c>
    </row>
    <row r="21">
      <c r="A21" s="5" t="inlineStr">
        <is>
          <t>Egypt</t>
        </is>
      </c>
      <c r="B21" s="3" t="inlineStr">
        <is>
          <t>Member</t>
        </is>
      </c>
      <c r="C21" s="4" t="n">
        <v>5600</v>
      </c>
      <c r="D21" s="5" t="inlineStr">
        <is>
          <t>B+</t>
        </is>
      </c>
      <c r="E21" s="5" t="inlineStr">
        <is>
          <t>Stable</t>
        </is>
      </c>
    </row>
    <row r="22">
      <c r="A22" s="5" t="inlineStr">
        <is>
          <t>El Salvador</t>
        </is>
      </c>
      <c r="B22" s="3" t="inlineStr">
        <is>
          <t>Member</t>
        </is>
      </c>
      <c r="C22" s="4" t="n">
        <v>3799</v>
      </c>
      <c r="D22" s="5" t="inlineStr">
        <is>
          <t>B-</t>
        </is>
      </c>
      <c r="E22" s="5" t="inlineStr">
        <is>
          <t>Negative</t>
        </is>
      </c>
    </row>
    <row r="23">
      <c r="A23" s="5" t="inlineStr">
        <is>
          <t>Estonia</t>
        </is>
      </c>
      <c r="B23" s="3" t="inlineStr">
        <is>
          <t>Member</t>
        </is>
      </c>
      <c r="C23" s="4" t="n">
        <v>23027</v>
      </c>
      <c r="D23" s="5" t="inlineStr">
        <is>
          <t>AA-</t>
        </is>
      </c>
      <c r="E23" s="5" t="inlineStr">
        <is>
          <t>Stable</t>
        </is>
      </c>
    </row>
    <row r="24">
      <c r="A24" s="5" t="inlineStr">
        <is>
          <t>France</t>
        </is>
      </c>
      <c r="B24" s="3" t="inlineStr">
        <is>
          <t>Member</t>
        </is>
      </c>
      <c r="C24" s="4" t="n">
        <v>39030</v>
      </c>
      <c r="D24" s="5" t="inlineStr">
        <is>
          <t>AA</t>
        </is>
      </c>
      <c r="E24" s="5" t="inlineStr">
        <is>
          <t>Negative</t>
        </is>
      </c>
    </row>
    <row r="25">
      <c r="A25" s="5" t="inlineStr">
        <is>
          <t>Georgia</t>
        </is>
      </c>
      <c r="B25" s="3" t="inlineStr">
        <is>
          <t>Member</t>
        </is>
      </c>
      <c r="C25" s="4" t="n">
        <v>4279</v>
      </c>
      <c r="D25" s="5" t="inlineStr">
        <is>
          <t>BB</t>
        </is>
      </c>
      <c r="E25" s="5" t="inlineStr">
        <is>
          <t>Negative</t>
        </is>
      </c>
    </row>
    <row r="26">
      <c r="A26" s="5" t="inlineStr">
        <is>
          <t>Germany</t>
        </is>
      </c>
      <c r="B26" s="3" t="inlineStr">
        <is>
          <t>Member</t>
        </is>
      </c>
      <c r="C26" s="4" t="n">
        <v>46208</v>
      </c>
      <c r="D26" s="5" t="inlineStr">
        <is>
          <t>AAA</t>
        </is>
      </c>
      <c r="E26" s="5" t="inlineStr">
        <is>
          <t>Stable</t>
        </is>
      </c>
    </row>
    <row r="27">
      <c r="A27" s="5" t="inlineStr">
        <is>
          <t>Hungary</t>
        </is>
      </c>
      <c r="B27" s="3" t="inlineStr">
        <is>
          <t>Member</t>
        </is>
      </c>
      <c r="C27" s="4" t="n">
        <v>15899</v>
      </c>
      <c r="D27" s="5" t="inlineStr">
        <is>
          <t>BBB</t>
        </is>
      </c>
      <c r="E27" s="5" t="inlineStr">
        <is>
          <t>Stable</t>
        </is>
      </c>
    </row>
    <row r="28">
      <c r="A28" s="5" t="inlineStr">
        <is>
          <t>Iceland</t>
        </is>
      </c>
      <c r="B28" s="3" t="inlineStr">
        <is>
          <t>Member</t>
        </is>
      </c>
      <c r="C28" s="4" t="n">
        <v>59270</v>
      </c>
      <c r="D28" s="5" t="inlineStr">
        <is>
          <t>A</t>
        </is>
      </c>
      <c r="E28" s="5" t="inlineStr">
        <is>
          <t>Negative</t>
        </is>
      </c>
    </row>
    <row r="29">
      <c r="A29" s="5" t="inlineStr">
        <is>
          <t>Ireland</t>
        </is>
      </c>
      <c r="B29" s="3" t="inlineStr">
        <is>
          <t>Member</t>
        </is>
      </c>
      <c r="C29" s="4" t="n">
        <v>85268</v>
      </c>
      <c r="D29" s="5" t="inlineStr">
        <is>
          <t>A+</t>
        </is>
      </c>
      <c r="E29" s="5" t="inlineStr">
        <is>
          <t>Stable</t>
        </is>
      </c>
    </row>
    <row r="30">
      <c r="A30" s="5" t="inlineStr">
        <is>
          <t>Israel</t>
        </is>
      </c>
      <c r="B30" s="3" t="inlineStr">
        <is>
          <t>Member</t>
        </is>
      </c>
      <c r="C30" s="4" t="n">
        <v>43611</v>
      </c>
      <c r="D30" s="5" t="inlineStr">
        <is>
          <t>A+</t>
        </is>
      </c>
      <c r="E30" s="5" t="inlineStr">
        <is>
          <t>Stable</t>
        </is>
      </c>
    </row>
    <row r="31">
      <c r="A31" s="5" t="inlineStr">
        <is>
          <t>Italy</t>
        </is>
      </c>
      <c r="B31" s="3" t="inlineStr">
        <is>
          <t>Member</t>
        </is>
      </c>
      <c r="C31" s="4" t="n">
        <v>31676</v>
      </c>
      <c r="D31" s="5" t="inlineStr">
        <is>
          <t>BBB-</t>
        </is>
      </c>
      <c r="E31" s="5" t="inlineStr">
        <is>
          <t>Stable</t>
        </is>
      </c>
    </row>
    <row r="32">
      <c r="A32" s="5" t="inlineStr">
        <is>
          <t>Japan</t>
        </is>
      </c>
      <c r="B32" s="3" t="inlineStr">
        <is>
          <t>Member</t>
        </is>
      </c>
      <c r="C32" s="4" t="n">
        <v>39539</v>
      </c>
      <c r="D32" s="5" t="inlineStr">
        <is>
          <t>A</t>
        </is>
      </c>
      <c r="E32" s="5" t="inlineStr">
        <is>
          <t>Negative</t>
        </is>
      </c>
    </row>
    <row r="33">
      <c r="A33" s="5" t="inlineStr">
        <is>
          <t>Kazakhstan</t>
        </is>
      </c>
      <c r="B33" s="3" t="inlineStr">
        <is>
          <t>Member</t>
        </is>
      </c>
      <c r="C33" s="4" t="n">
        <v>9056</v>
      </c>
      <c r="D33" s="5" t="inlineStr">
        <is>
          <t>BBB</t>
        </is>
      </c>
      <c r="E33" s="5" t="inlineStr">
        <is>
          <t>Stable</t>
        </is>
      </c>
    </row>
    <row r="34">
      <c r="A34" s="5" t="inlineStr">
        <is>
          <t>Kenya</t>
        </is>
      </c>
      <c r="B34" s="3" t="inlineStr">
        <is>
          <t>Member</t>
        </is>
      </c>
      <c r="C34" s="4" t="n">
        <v>1838</v>
      </c>
      <c r="D34" s="5" t="inlineStr">
        <is>
          <t>B+</t>
        </is>
      </c>
      <c r="E34" s="5" t="inlineStr">
        <is>
          <t>Negative</t>
        </is>
      </c>
    </row>
    <row r="35">
      <c r="A35" s="5" t="inlineStr">
        <is>
          <t>Latvia</t>
        </is>
      </c>
      <c r="B35" s="3" t="inlineStr">
        <is>
          <t>Member</t>
        </is>
      </c>
      <c r="C35" s="4" t="n">
        <v>17620</v>
      </c>
      <c r="D35" s="5" t="inlineStr">
        <is>
          <t>A-</t>
        </is>
      </c>
      <c r="E35" s="5" t="inlineStr">
        <is>
          <t>Stable</t>
        </is>
      </c>
    </row>
    <row r="36">
      <c r="A36" s="5" t="inlineStr">
        <is>
          <t>Iraq</t>
        </is>
      </c>
      <c r="B36" s="3" t="inlineStr">
        <is>
          <t>Observer</t>
        </is>
      </c>
      <c r="C36" s="4" t="n">
        <v>4157</v>
      </c>
      <c r="D36" s="5" t="inlineStr">
        <is>
          <t>B-</t>
        </is>
      </c>
      <c r="E36" s="5" t="inlineStr">
        <is>
          <t>Stable</t>
        </is>
      </c>
    </row>
    <row r="37">
      <c r="A37" s="5" t="inlineStr">
        <is>
          <t>Lithuania</t>
        </is>
      </c>
      <c r="B37" s="3" t="inlineStr">
        <is>
          <t>Member</t>
        </is>
      </c>
      <c r="C37" s="4" t="n">
        <v>19998</v>
      </c>
      <c r="D37" s="5" t="inlineStr">
        <is>
          <t>A</t>
        </is>
      </c>
      <c r="E37" s="5" t="inlineStr">
        <is>
          <t>Stable</t>
        </is>
      </c>
    </row>
    <row r="38">
      <c r="A38" s="5" t="inlineStr">
        <is>
          <t>Malaysia</t>
        </is>
      </c>
      <c r="B38" s="3" t="inlineStr">
        <is>
          <t>Member</t>
        </is>
      </c>
      <c r="C38" s="4" t="n">
        <v>10402</v>
      </c>
      <c r="D38" s="5" t="inlineStr">
        <is>
          <t>BBB+</t>
        </is>
      </c>
      <c r="E38" s="5" t="inlineStr">
        <is>
          <t>Stable</t>
        </is>
      </c>
    </row>
    <row r="39">
      <c r="A39" s="5" t="inlineStr">
        <is>
          <t>Mexico</t>
        </is>
      </c>
      <c r="B39" s="3" t="inlineStr">
        <is>
          <t>Member</t>
        </is>
      </c>
      <c r="C39" s="4" t="n">
        <v>8347</v>
      </c>
      <c r="D39" s="5" t="inlineStr">
        <is>
          <t>BBB-</t>
        </is>
      </c>
      <c r="E39" s="5" t="inlineStr">
        <is>
          <t>Stable</t>
        </is>
      </c>
    </row>
    <row r="40">
      <c r="A40" s="5" t="inlineStr">
        <is>
          <t>Peru</t>
        </is>
      </c>
      <c r="B40" s="3" t="inlineStr">
        <is>
          <t>Member</t>
        </is>
      </c>
      <c r="C40" s="4" t="n">
        <v>6127</v>
      </c>
      <c r="D40" s="5" t="inlineStr">
        <is>
          <t>BBB+</t>
        </is>
      </c>
      <c r="E40" s="5" t="inlineStr">
        <is>
          <t>Stable</t>
        </is>
      </c>
    </row>
    <row r="41">
      <c r="A41" s="5" t="inlineStr">
        <is>
          <t>Philippines</t>
        </is>
      </c>
      <c r="B41" s="3" t="inlineStr">
        <is>
          <t>Member</t>
        </is>
      </c>
      <c r="C41" s="4" t="n">
        <v>3299</v>
      </c>
      <c r="D41" s="5" t="inlineStr">
        <is>
          <t>BBB</t>
        </is>
      </c>
      <c r="E41" s="5" t="inlineStr">
        <is>
          <t>Negative</t>
        </is>
      </c>
    </row>
    <row r="42">
      <c r="A42" s="5" t="inlineStr">
        <is>
          <t>Poland</t>
        </is>
      </c>
      <c r="B42" s="3" t="inlineStr">
        <is>
          <t>Member</t>
        </is>
      </c>
      <c r="C42" s="4" t="n">
        <v>15656</v>
      </c>
      <c r="D42" s="5" t="inlineStr">
        <is>
          <t>A-</t>
        </is>
      </c>
      <c r="E42" s="5" t="inlineStr">
        <is>
          <t>Stable</t>
        </is>
      </c>
    </row>
    <row r="43">
      <c r="A43" s="5" t="inlineStr">
        <is>
          <t>Portugal</t>
        </is>
      </c>
      <c r="B43" s="3" t="inlineStr">
        <is>
          <t>Member</t>
        </is>
      </c>
      <c r="C43" s="4" t="n">
        <v>22437</v>
      </c>
      <c r="D43" s="5" t="inlineStr">
        <is>
          <t>BBB</t>
        </is>
      </c>
      <c r="E43" s="5" t="inlineStr">
        <is>
          <t>Positive</t>
        </is>
      </c>
    </row>
    <row r="44">
      <c r="A44" s="5" t="inlineStr">
        <is>
          <t>South Korea</t>
        </is>
      </c>
      <c r="B44" s="3" t="inlineStr">
        <is>
          <t>Member</t>
        </is>
      </c>
      <c r="C44" s="4" t="n">
        <v>1805</v>
      </c>
      <c r="D44" s="5" t="inlineStr">
        <is>
          <t>AA-</t>
        </is>
      </c>
      <c r="E44" s="5" t="inlineStr">
        <is>
          <t>Stable</t>
        </is>
      </c>
    </row>
    <row r="45">
      <c r="A45" s="5" t="inlineStr">
        <is>
          <t>Romania</t>
        </is>
      </c>
      <c r="B45" s="3" t="inlineStr">
        <is>
          <t>Member</t>
        </is>
      </c>
      <c r="C45" s="4" t="n">
        <v>12896</v>
      </c>
      <c r="D45" s="5" t="inlineStr">
        <is>
          <t>BBB-</t>
        </is>
      </c>
      <c r="E45" s="5" t="inlineStr">
        <is>
          <t>Negative</t>
        </is>
      </c>
    </row>
    <row r="46">
      <c r="A46" s="5" t="inlineStr">
        <is>
          <t>Russia</t>
        </is>
      </c>
      <c r="B46" s="3" t="inlineStr">
        <is>
          <t>Member</t>
        </is>
      </c>
      <c r="C46" s="4" t="n">
        <v>12896</v>
      </c>
      <c r="D46" s="5" t="inlineStr">
        <is>
          <t>BBB</t>
        </is>
      </c>
      <c r="E46" s="5" t="inlineStr">
        <is>
          <t>Stable</t>
        </is>
      </c>
    </row>
    <row r="47">
      <c r="A47" s="5" t="inlineStr">
        <is>
          <t>Rwanda</t>
        </is>
      </c>
      <c r="B47" s="3" t="inlineStr">
        <is>
          <t>Member</t>
        </is>
      </c>
      <c r="C47" s="4" t="n">
        <v>798</v>
      </c>
      <c r="D47" s="5" t="inlineStr">
        <is>
          <t>B+</t>
        </is>
      </c>
      <c r="E47" s="5" t="inlineStr">
        <is>
          <t>Stable</t>
        </is>
      </c>
    </row>
    <row r="48">
      <c r="A48" s="5" t="inlineStr">
        <is>
          <t>Serbia</t>
        </is>
      </c>
      <c r="B48" s="3" t="inlineStr">
        <is>
          <t>Observer</t>
        </is>
      </c>
      <c r="C48" s="4" t="n">
        <v>7666</v>
      </c>
      <c r="D48" s="5" t="inlineStr">
        <is>
          <t>BB+</t>
        </is>
      </c>
      <c r="E48" s="5" t="inlineStr">
        <is>
          <t>Stable</t>
        </is>
      </c>
    </row>
    <row r="49">
      <c r="A49" s="5" t="inlineStr">
        <is>
          <t>Singapore</t>
        </is>
      </c>
      <c r="B49" s="3" t="inlineStr">
        <is>
          <t>Member</t>
        </is>
      </c>
      <c r="C49" s="4" t="n">
        <v>59798</v>
      </c>
      <c r="D49" s="5" t="inlineStr">
        <is>
          <t>AAA</t>
        </is>
      </c>
      <c r="E49" s="5" t="inlineStr">
        <is>
          <t>Stable</t>
        </is>
      </c>
    </row>
    <row r="50">
      <c r="A50" s="5" t="inlineStr">
        <is>
          <t>Slovakia</t>
        </is>
      </c>
      <c r="B50" s="3" t="inlineStr">
        <is>
          <t>Member</t>
        </is>
      </c>
      <c r="C50" s="4" t="n">
        <v>19157</v>
      </c>
      <c r="D50" s="5" t="inlineStr">
        <is>
          <t>A</t>
        </is>
      </c>
      <c r="E50" s="5" t="inlineStr">
        <is>
          <t>Negative</t>
        </is>
      </c>
    </row>
    <row r="51">
      <c r="A51" s="5" t="inlineStr">
        <is>
          <t>Slovenia</t>
        </is>
      </c>
      <c r="B51" s="3" t="inlineStr">
        <is>
          <t>Member</t>
        </is>
      </c>
      <c r="C51" s="4" t="n">
        <v>25517</v>
      </c>
      <c r="D51" s="5" t="inlineStr">
        <is>
          <t>A</t>
        </is>
      </c>
      <c r="E51" s="5" t="inlineStr">
        <is>
          <t>Stable</t>
        </is>
      </c>
    </row>
    <row r="52">
      <c r="A52" s="5" t="inlineStr">
        <is>
          <t>South Africa</t>
        </is>
      </c>
      <c r="B52" s="3" t="inlineStr">
        <is>
          <t>Member</t>
        </is>
      </c>
      <c r="C52" s="4" t="n">
        <v>5091</v>
      </c>
      <c r="D52" s="5" t="inlineStr">
        <is>
          <t>BB-</t>
        </is>
      </c>
      <c r="E52" s="5" t="inlineStr">
        <is>
          <t>Negative</t>
        </is>
      </c>
    </row>
    <row r="53">
      <c r="A53" s="5" t="inlineStr">
        <is>
          <t>Spain</t>
        </is>
      </c>
      <c r="B53" s="3" t="inlineStr">
        <is>
          <t>Member</t>
        </is>
      </c>
      <c r="C53" s="4" t="n">
        <v>27063</v>
      </c>
      <c r="D53" s="5" t="inlineStr">
        <is>
          <t>A-</t>
        </is>
      </c>
      <c r="E53" s="5" t="inlineStr">
        <is>
          <t>Stable</t>
        </is>
      </c>
    </row>
    <row r="54">
      <c r="A54" s="5" t="inlineStr">
        <is>
          <t>Sweden</t>
        </is>
      </c>
      <c r="B54" s="3" t="inlineStr">
        <is>
          <t>Member</t>
        </is>
      </c>
      <c r="C54" s="4" t="n">
        <v>52259</v>
      </c>
      <c r="D54" s="5" t="inlineStr">
        <is>
          <t>AAA</t>
        </is>
      </c>
      <c r="E54" s="5" t="inlineStr">
        <is>
          <t>Stable</t>
        </is>
      </c>
    </row>
    <row r="55">
      <c r="A55" s="5" t="inlineStr">
        <is>
          <t>Switzerland</t>
        </is>
      </c>
      <c r="B55" s="3" t="inlineStr">
        <is>
          <t>Member</t>
        </is>
      </c>
      <c r="C55" s="4" t="n">
        <v>87097</v>
      </c>
      <c r="D55" s="5" t="inlineStr">
        <is>
          <t>AAA</t>
        </is>
      </c>
      <c r="E55" s="5" t="inlineStr">
        <is>
          <t>Stable</t>
        </is>
      </c>
    </row>
    <row r="56">
      <c r="A56" s="5" t="inlineStr">
        <is>
          <t>Thailand</t>
        </is>
      </c>
      <c r="B56" s="3" t="inlineStr">
        <is>
          <t>Member</t>
        </is>
      </c>
      <c r="C56" s="4" t="n">
        <v>7189</v>
      </c>
      <c r="D56" s="5" t="inlineStr">
        <is>
          <t>BBB+</t>
        </is>
      </c>
      <c r="E56" s="5" t="inlineStr">
        <is>
          <t>Stable</t>
        </is>
      </c>
    </row>
    <row r="57">
      <c r="A57" s="5" t="inlineStr">
        <is>
          <t>Turkey</t>
        </is>
      </c>
      <c r="B57" s="3" t="inlineStr">
        <is>
          <t>Member</t>
        </is>
      </c>
      <c r="C57" s="4" t="n">
        <v>8538</v>
      </c>
      <c r="D57" s="5" t="inlineStr">
        <is>
          <t>BB-</t>
        </is>
      </c>
      <c r="E57" s="5" t="inlineStr">
        <is>
          <t>Stable</t>
        </is>
      </c>
    </row>
    <row r="58">
      <c r="A58" s="5" t="inlineStr">
        <is>
          <t>United Kingdom</t>
        </is>
      </c>
      <c r="B58" s="3" t="inlineStr">
        <is>
          <t>Member</t>
        </is>
      </c>
      <c r="C58" s="4" t="n">
        <v>40285</v>
      </c>
      <c r="D58" s="5" t="inlineStr">
        <is>
          <t>AA-</t>
        </is>
      </c>
      <c r="E58" s="5" t="inlineStr">
        <is>
          <t>Negative</t>
        </is>
      </c>
    </row>
    <row r="59">
      <c r="A59" s="5" t="inlineStr">
        <is>
          <t>Uruguay</t>
        </is>
      </c>
      <c r="B59" s="3" t="inlineStr">
        <is>
          <t>Member</t>
        </is>
      </c>
      <c r="C59" s="4" t="n">
        <v>15438</v>
      </c>
      <c r="D59" s="5" t="inlineStr">
        <is>
          <t>BBB-</t>
        </is>
      </c>
      <c r="E59" s="5" t="inlineStr">
        <is>
          <t>Negative</t>
        </is>
      </c>
    </row>
    <row r="60">
      <c r="A60" s="5" t="inlineStr">
        <is>
          <t>United States</t>
        </is>
      </c>
      <c r="B60" s="3" t="inlineStr">
        <is>
          <t>Member</t>
        </is>
      </c>
      <c r="C60" s="4" t="n">
        <v>63544</v>
      </c>
      <c r="D60" s="5" t="inlineStr">
        <is>
          <t>AAA</t>
        </is>
      </c>
      <c r="E60" s="5" t="inlineStr">
        <is>
          <t>Negative</t>
        </is>
      </c>
    </row>
    <row r="61">
      <c r="A61" s="5" t="inlineStr">
        <is>
          <t>Vietnam</t>
        </is>
      </c>
      <c r="B61" s="3" t="inlineStr">
        <is>
          <t>Member</t>
        </is>
      </c>
      <c r="C61" s="4" t="n">
        <v>2786</v>
      </c>
      <c r="D61" s="5" t="inlineStr">
        <is>
          <t>BB</t>
        </is>
      </c>
      <c r="E61" s="5" t="inlineStr">
        <is>
          <t>Positive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68" customWidth="1" min="3" max="3"/>
    <col width="30" customWidth="1" min="4" max="4"/>
    <col width="26" customWidth="1" min="5" max="5"/>
  </cols>
  <sheetData>
    <row r="1">
      <c r="A1" s="7" t="inlineStr">
        <is>
          <t>BMGT 240IS · Chapter 1 · nations.xlsx — Summary</t>
        </is>
      </c>
    </row>
    <row r="2">
      <c r="A2" s="8" t="inlineStr">
        <is>
          <t>Camm et al., Essentials of Modern Business Statistics with Microsoft Excel, 9e · Ch 1  — every figure is a live formula against the Data sheet, not a pasted value.</t>
        </is>
      </c>
    </row>
    <row r="4" ht="20" customHeight="1">
      <c r="A4" s="9" t="inlineStr">
        <is>
          <t>DATA SET ANATOMY</t>
        </is>
      </c>
    </row>
    <row r="5">
      <c r="A5" s="10" t="inlineStr">
        <is>
          <t>Elements (nations)</t>
        </is>
      </c>
      <c r="B5" s="11">
        <f>COUNTA(Data!A2:A61)</f>
        <v/>
      </c>
      <c r="C5" s="8" t="inlineStr">
        <is>
          <t>column A holds observation names, not data</t>
        </is>
      </c>
    </row>
    <row r="6">
      <c r="A6" s="10" t="inlineStr">
        <is>
          <t>Variables</t>
        </is>
      </c>
      <c r="B6" s="11">
        <f>COUNTA(Data!B1:E1)</f>
        <v/>
      </c>
      <c r="C6" s="8" t="inlineStr">
        <is>
          <t>B1:E1 — 'Nation' is a label, not a variable</t>
        </is>
      </c>
    </row>
    <row r="7">
      <c r="A7" s="10" t="inlineStr">
        <is>
          <t>Observations</t>
        </is>
      </c>
      <c r="B7" s="11">
        <f>B5</f>
        <v/>
      </c>
      <c r="C7" s="8" t="inlineStr">
        <is>
          <t>a data set with n elements has n observations</t>
        </is>
      </c>
    </row>
    <row r="8">
      <c r="A8" s="10" t="inlineStr">
        <is>
          <t>Data values</t>
        </is>
      </c>
      <c r="B8" s="11">
        <f>B5*B6</f>
        <v/>
      </c>
      <c r="C8" s="8" t="inlineStr">
        <is>
          <t>elements x variables</t>
        </is>
      </c>
    </row>
    <row r="10" ht="20" customHeight="1">
      <c r="A10" s="9" t="inlineStr">
        <is>
          <t>VARIABLE SUMMARY</t>
        </is>
      </c>
    </row>
    <row r="11">
      <c r="A11" s="12" t="inlineStr">
        <is>
          <t>Variable</t>
        </is>
      </c>
      <c r="B11" s="12" t="inlineStr">
        <is>
          <t>Scale</t>
        </is>
      </c>
      <c r="C11" s="12" t="inlineStr">
        <is>
          <t>Categorical / quantitative</t>
        </is>
      </c>
      <c r="D11" s="12" t="inlineStr">
        <is>
          <t>Distinct</t>
        </is>
      </c>
      <c r="E11" s="12" t="inlineStr">
        <is>
          <t>Distribution in this file</t>
        </is>
      </c>
    </row>
    <row r="12">
      <c r="A12" s="13" t="inlineStr">
        <is>
          <t>WTO Status</t>
        </is>
      </c>
      <c r="B12" s="14" t="inlineStr">
        <is>
          <t>Nominal</t>
        </is>
      </c>
      <c r="C12" s="15" t="inlineStr">
        <is>
          <t>Categorical</t>
        </is>
      </c>
      <c r="D12" s="16">
        <f>SUMPRODUCT((Data!B2:B61&lt;&gt;"")/COUNTIF(Data!B2:B61,Data!B2:B61&amp;""))</f>
        <v/>
      </c>
      <c r="E12" s="15">
        <f>"Member "&amp;COUNTIF(Data!B2:B61,"Member")&amp;"   ·   Observer "&amp;COUNTIF(Data!B2:B61,"Observer")</f>
        <v/>
      </c>
    </row>
    <row r="13">
      <c r="A13" s="13" t="inlineStr">
        <is>
          <t>Per Capita GDP ($)</t>
        </is>
      </c>
      <c r="B13" s="14" t="inlineStr">
        <is>
          <t>Ratio</t>
        </is>
      </c>
      <c r="C13" s="15" t="inlineStr">
        <is>
          <t>Quantitative</t>
        </is>
      </c>
      <c r="D13" s="16">
        <f>SUMPRODUCT((Data!C2:C61&lt;&gt;"")/COUNTIF(Data!C2:C61,Data!C2:C61&amp;""))</f>
        <v/>
      </c>
      <c r="E13" s="15">
        <f>"$"&amp;TEXT(MIN(Data!C2:C61),"#,##0")&amp;" to $"&amp;TEXT(MAX(Data!C2:C61),"#,##0")</f>
        <v/>
      </c>
    </row>
    <row r="14">
      <c r="A14" s="13" t="inlineStr">
        <is>
          <t>Fitch Rating</t>
        </is>
      </c>
      <c r="B14" s="14" t="inlineStr">
        <is>
          <t>Ordinal</t>
        </is>
      </c>
      <c r="C14" s="15" t="inlineStr">
        <is>
          <t>Categorical</t>
        </is>
      </c>
      <c r="D14" s="16">
        <f>SUMPRODUCT((Data!D2:D61&lt;&gt;"")/COUNTIF(Data!D2:D61,Data!D2:D61&amp;""))</f>
        <v/>
      </c>
      <c r="E14" s="15">
        <f>"B- to AAA   ·   AAA appears "&amp;COUNTIF(Data!D2:D61,"AAA")&amp;" times"</f>
        <v/>
      </c>
    </row>
    <row r="15">
      <c r="A15" s="13" t="inlineStr">
        <is>
          <t>Fitch Outlook</t>
        </is>
      </c>
      <c r="B15" s="14" t="inlineStr">
        <is>
          <t>Ordinal</t>
        </is>
      </c>
      <c r="C15" s="15" t="inlineStr">
        <is>
          <t>Categorical</t>
        </is>
      </c>
      <c r="D15" s="16">
        <f>SUMPRODUCT((Data!E2:E61&lt;&gt;"")/COUNTIF(Data!E2:E61,Data!E2:E61&amp;""))</f>
        <v/>
      </c>
      <c r="E15" s="15">
        <f>"Stable "&amp;COUNTIF(Data!E2:E61,"Stable")&amp;"   ·   Negative "&amp;COUNTIF(Data!E2:E61,"Negative")&amp;"   ·   Positive "&amp;COUNTIF(Data!E2:E61,"Positive")</f>
        <v/>
      </c>
    </row>
    <row r="17" ht="20" customHeight="1">
      <c r="A17" s="9" t="inlineStr">
        <is>
          <t>PER CAPITA GDP ($) — NUMERIC SUMMARY</t>
        </is>
      </c>
    </row>
    <row r="18">
      <c r="A18" s="10" t="inlineStr">
        <is>
          <t>n</t>
        </is>
      </c>
      <c r="B18" s="11">
        <f>COUNT(Data!C2:C61)</f>
        <v/>
      </c>
      <c r="C18" s="8" t="inlineStr">
        <is>
          <t>all 60 numeric — compare COUNT with COUNTA</t>
        </is>
      </c>
    </row>
    <row r="19">
      <c r="A19" s="10" t="inlineStr">
        <is>
          <t>Minimum</t>
        </is>
      </c>
      <c r="B19" s="17">
        <f>MIN(Data!C2:C61)</f>
        <v/>
      </c>
      <c r="C19" s="8">
        <f>INDEX(Data!A2:A61,MATCH(MIN(Data!C2:C61),Data!C2:C61,0))</f>
        <v/>
      </c>
    </row>
    <row r="20">
      <c r="A20" s="10" t="inlineStr">
        <is>
          <t>Maximum</t>
        </is>
      </c>
      <c r="B20" s="17">
        <f>MAX(Data!C2:C61)</f>
        <v/>
      </c>
      <c r="C20" s="8">
        <f>INDEX(Data!A2:A61,MATCH(MAX(Data!C2:C61),Data!C2:C61,0))</f>
        <v/>
      </c>
    </row>
    <row r="21">
      <c r="A21" s="10" t="inlineStr">
        <is>
          <t>Mean</t>
        </is>
      </c>
      <c r="B21" s="17">
        <f>AVERAGE(Data!C2:C61)</f>
        <v/>
      </c>
      <c r="C21" s="8" t="inlineStr"/>
    </row>
    <row r="22">
      <c r="A22" s="10" t="inlineStr">
        <is>
          <t>Median</t>
        </is>
      </c>
      <c r="B22" s="17">
        <f>MEDIAN(Data!C2:C61)</f>
        <v/>
      </c>
      <c r="C22" s="8" t="inlineStr"/>
    </row>
    <row r="23">
      <c r="A23" s="10" t="inlineStr">
        <is>
          <t>Mean / median</t>
        </is>
      </c>
      <c r="B23" s="18">
        <f>B21/B22</f>
        <v/>
      </c>
      <c r="C23" s="8" t="inlineStr">
        <is>
          <t>above 1 = right-skewed; a few rich nations pull the mean up</t>
        </is>
      </c>
    </row>
    <row r="24">
      <c r="A24" s="10" t="inlineStr">
        <is>
          <t>Nations above the mean</t>
        </is>
      </c>
      <c r="B24" s="11">
        <f>COUNTIF(Data!C2:C61,"&gt;"&amp;B21)</f>
        <v/>
      </c>
      <c r="C24" s="8" t="inlineStr">
        <is>
          <t>out of 60 — the mean is not 'the middle'</t>
        </is>
      </c>
    </row>
    <row r="25">
      <c r="A25" s="10" t="inlineStr">
        <is>
          <t>Std deviation (sample)</t>
        </is>
      </c>
      <c r="B25" s="17">
        <f>STDEV.S(Data!C2:C61)</f>
        <v/>
      </c>
      <c r="C25" s="8" t="inlineStr">
        <is>
          <t>course convention: .S variants</t>
        </is>
      </c>
    </row>
    <row r="27" ht="20" customHeight="1">
      <c r="A27" s="9" t="inlineStr">
        <is>
          <t>WHICH ARITHMETIC IS LEGAL — the day-1 demo</t>
        </is>
      </c>
    </row>
    <row r="28">
      <c r="A28" s="10" t="inlineStr">
        <is>
          <t>Ratio scale — the mean means something:</t>
        </is>
      </c>
      <c r="B28" s="19">
        <f>AVERAGE(Data!C2:C61)</f>
        <v/>
      </c>
      <c r="C28" s="8" t="n"/>
    </row>
    <row r="29">
      <c r="A29" s="10" t="inlineStr">
        <is>
          <t>Ordinal scale — Excel refuses, loudly:</t>
        </is>
      </c>
      <c r="B29" s="20">
        <f>AVERAGE(Data!D2:D61)</f>
        <v/>
      </c>
      <c r="C29" s="8" t="inlineStr">
        <is>
          <t>returns #DIV/0! — the column is entirely text, nothing to average</t>
        </is>
      </c>
    </row>
    <row r="30">
      <c r="A30" s="21" t="inlineStr">
        <is>
          <t>The dangerous case does NOT error:</t>
        </is>
      </c>
      <c r="B30" s="22" t="n"/>
      <c r="C30" s="23" t="inlineStr">
        <is>
          <t>in compactsuv.xlsx =AVERAGE(E2:E16) returns a clean, wrong 0 — seven numeric zeros averaged, eight text cells silently dropped</t>
        </is>
      </c>
    </row>
    <row r="32" ht="20" customHeight="1">
      <c r="A32" s="9" t="inlineStr">
        <is>
          <t>DATA QUALITY FLAGS — errors present in the publisher file (§1.3, §1.9)</t>
        </is>
      </c>
    </row>
    <row r="33">
      <c r="A33" s="12" t="inlineStr">
        <is>
          <t>Row</t>
        </is>
      </c>
      <c r="B33" s="12" t="inlineStr">
        <is>
          <t>Nation</t>
        </is>
      </c>
      <c r="C33" s="12" t="inlineStr">
        <is>
          <t>Problem</t>
        </is>
      </c>
      <c r="D33" s="12" t="inlineStr">
        <is>
          <t>How it is detectable</t>
        </is>
      </c>
    </row>
    <row r="34">
      <c r="A34" s="24">
        <f>MATCH("CoStable Rica",Data!A1:A61,0)</f>
        <v/>
      </c>
      <c r="B34" s="14" t="inlineStr">
        <is>
          <t>CoStable Rica</t>
        </is>
      </c>
      <c r="C34" s="15" t="inlineStr">
        <is>
          <t>Should read "Costa Rica" — a find-and-replace of "sta" to "Stable" hit column A.</t>
        </is>
      </c>
      <c r="D34" s="15" t="inlineStr">
        <is>
          <t>String scan; no outside knowledge needed</t>
        </is>
      </c>
    </row>
    <row r="35">
      <c r="A35" s="24">
        <f>MATCH("South Korea",Data!A1:A61,0)</f>
        <v/>
      </c>
      <c r="B35" s="14" t="inlineStr">
        <is>
          <t>South Korea</t>
        </is>
      </c>
      <c r="C35" s="15" t="inlineStr">
        <is>
          <t>GDP of $1,805 is wrong by roughly 17x; actual is near $31,600.</t>
        </is>
      </c>
      <c r="D35" s="15" t="inlineStr">
        <is>
          <t>Cross-column contradiction: an AA- nation cannot sit below Kenya</t>
        </is>
      </c>
    </row>
    <row r="36">
      <c r="A36" s="24">
        <f>MATCH("Cape Verde",Data!A1:A61,0)</f>
        <v/>
      </c>
      <c r="B36" s="14" t="inlineStr">
        <is>
          <t>Cape Verde</t>
        </is>
      </c>
      <c r="C36" s="15" t="inlineStr">
        <is>
          <t>GDP of $43,258 is wrong (actual near $3,000) and duplicates Canada exactly.</t>
        </is>
      </c>
      <c r="D36" s="15" t="inlineStr">
        <is>
          <t>Duplicate check: identical to the row above</t>
        </is>
      </c>
    </row>
    <row r="37">
      <c r="A37" s="8" t="inlineStr">
        <is>
          <t>Each error needs a different technique — string scan, cross-column sanity check, duplicate check. That is a repeatable audit, on the textbook's own file.</t>
        </is>
      </c>
    </row>
    <row r="39" ht="20" customHeight="1">
      <c r="A39" s="9" t="inlineStr">
        <is>
          <t>KEY TERMS — Camm 9e, Chapter 1 (definitions verbatim from the textbook)</t>
        </is>
      </c>
    </row>
    <row r="40">
      <c r="A40" s="12" t="inlineStr">
        <is>
          <t>Term</t>
        </is>
      </c>
      <c r="B40" s="12" t="inlineStr">
        <is>
          <t>§</t>
        </is>
      </c>
      <c r="C40" s="12" t="inlineStr">
        <is>
          <t>Definition (Camm 9e)</t>
        </is>
      </c>
      <c r="D40" s="12" t="inlineStr">
        <is>
          <t>In this file</t>
        </is>
      </c>
      <c r="E40" s="25" t="n"/>
    </row>
    <row r="41" ht="24" customHeight="1">
      <c r="A41" s="26" t="inlineStr">
        <is>
          <t>Data</t>
        </is>
      </c>
      <c r="B41" s="27" t="inlineStr">
        <is>
          <t>§1.2</t>
        </is>
      </c>
      <c r="C41" s="28" t="inlineStr">
        <is>
          <t>The facts and figures collected, analyzed, and summarized for presentation and interpretation.</t>
        </is>
      </c>
      <c r="D41" s="29" t="inlineStr"/>
      <c r="E41" s="30" t="n"/>
    </row>
    <row r="42" ht="24" customHeight="1">
      <c r="A42" s="26" t="inlineStr">
        <is>
          <t>Elements</t>
        </is>
      </c>
      <c r="B42" s="27" t="inlineStr">
        <is>
          <t>§1.2</t>
        </is>
      </c>
      <c r="C42" s="28" t="inlineStr">
        <is>
          <t>The entities on which data are collected.</t>
        </is>
      </c>
      <c r="D42" s="31" t="inlineStr">
        <is>
          <t>the 60 nations — rows 2:61</t>
        </is>
      </c>
      <c r="E42" s="30" t="n"/>
    </row>
    <row r="43" ht="24" customHeight="1">
      <c r="A43" s="26" t="inlineStr">
        <is>
          <t>Variable</t>
        </is>
      </c>
      <c r="B43" s="27" t="inlineStr">
        <is>
          <t>§1.2</t>
        </is>
      </c>
      <c r="C43" s="28" t="inlineStr">
        <is>
          <t>A characteristic of interest for the elements.</t>
        </is>
      </c>
      <c r="D43" s="31" t="inlineStr">
        <is>
          <t>WTO Status, Per Capita GDP, Fitch Rating, Fitch Outlook (B1:E1)</t>
        </is>
      </c>
      <c r="E43" s="30" t="n"/>
    </row>
    <row r="44" ht="24" customHeight="1">
      <c r="A44" s="26" t="inlineStr">
        <is>
          <t>Data set</t>
        </is>
      </c>
      <c r="B44" s="27" t="inlineStr">
        <is>
          <t>§1.2</t>
        </is>
      </c>
      <c r="C44" s="28" t="inlineStr">
        <is>
          <t>All the data collected in a particular study.</t>
        </is>
      </c>
      <c r="D44" s="31" t="inlineStr">
        <is>
          <t>60 elements x 4 variables = 240 data values</t>
        </is>
      </c>
      <c r="E44" s="30" t="n"/>
    </row>
    <row r="45" ht="24" customHeight="1">
      <c r="A45" s="26" t="inlineStr">
        <is>
          <t>Observation</t>
        </is>
      </c>
      <c r="B45" s="27" t="inlineStr">
        <is>
          <t>§1.2</t>
        </is>
      </c>
      <c r="C45" s="28" t="inlineStr">
        <is>
          <t>The set of measurements obtained for a particular element.</t>
        </is>
      </c>
      <c r="D45" s="31" t="inlineStr">
        <is>
          <t>one row — Armenia: Member, 4,267, B+, Stable</t>
        </is>
      </c>
      <c r="E45" s="30" t="n"/>
    </row>
    <row r="46" ht="34" customHeight="1">
      <c r="A46" s="26" t="inlineStr">
        <is>
          <t>Nominal scale</t>
        </is>
      </c>
      <c r="B46" s="27" t="inlineStr">
        <is>
          <t>§1.2</t>
        </is>
      </c>
      <c r="C46" s="28" t="inlineStr">
        <is>
          <t>The scale of measurement for a variable when the data are labels or names used to identify an attribute of an element. Nominal data may be non-numeric or numeric.</t>
        </is>
      </c>
      <c r="D46" s="31" t="inlineStr">
        <is>
          <t>WTO Status — Member / Observer</t>
        </is>
      </c>
      <c r="E46" s="30" t="n"/>
    </row>
    <row r="47" ht="34" customHeight="1">
      <c r="A47" s="26" t="inlineStr">
        <is>
          <t>Ordinal scale</t>
        </is>
      </c>
      <c r="B47" s="27" t="inlineStr">
        <is>
          <t>§1.2</t>
        </is>
      </c>
      <c r="C47" s="28" t="inlineStr">
        <is>
          <t>The scale of measurement for a variable if the data exhibit the properties of nominal data and the order or rank of the data is meaningful. Ordinal data may be nonnumeric or numeric.</t>
        </is>
      </c>
      <c r="D47" s="31" t="inlineStr">
        <is>
          <t>Fitch Rating (B- to AAA); Fitch Outlook (Negative &lt; Stable &lt; Positive)</t>
        </is>
      </c>
      <c r="E47" s="30" t="n"/>
    </row>
    <row r="48" ht="34" customHeight="1">
      <c r="A48" s="26" t="inlineStr">
        <is>
          <t>Interval scale</t>
        </is>
      </c>
      <c r="B48" s="27" t="inlineStr">
        <is>
          <t>§1.2</t>
        </is>
      </c>
      <c r="C48" s="28" t="inlineStr">
        <is>
          <t>The scale of measurement for a variable if the data demonstrate the properties of ordinal data and the interval between values is expressed in terms of a fixed unit of measure. Interval data are always numeric.</t>
        </is>
      </c>
      <c r="D48" s="31" t="inlineStr">
        <is>
          <t>none in this file — the book uses SAT scores for this</t>
        </is>
      </c>
      <c r="E48" s="30" t="n"/>
    </row>
    <row r="49" ht="34" customHeight="1">
      <c r="A49" s="26" t="inlineStr">
        <is>
          <t>Ratio scale</t>
        </is>
      </c>
      <c r="B49" s="27" t="inlineStr">
        <is>
          <t>§1.2</t>
        </is>
      </c>
      <c r="C49" s="28" t="inlineStr">
        <is>
          <t>The scale of measurement for a variable if the data demonstrate all the properties of interval data and the ratio of two values is meaningful. Ratio data are always numerical.</t>
        </is>
      </c>
      <c r="D49" s="31" t="inlineStr">
        <is>
          <t>Per Capita GDP ($) — $798 to $87,097</t>
        </is>
      </c>
      <c r="E49" s="30" t="n"/>
    </row>
    <row r="50" ht="34" customHeight="1">
      <c r="A50" s="26" t="inlineStr">
        <is>
          <t>Categorical data</t>
        </is>
      </c>
      <c r="B50" s="27" t="inlineStr">
        <is>
          <t>§1.2</t>
        </is>
      </c>
      <c r="C50" s="28" t="inlineStr">
        <is>
          <t>Labels or names used to identify an attribute of each element. Categorical data use either the nominal or ordinal scale of measurement and may be nonnumeric or numeric.</t>
        </is>
      </c>
      <c r="D50" s="31" t="inlineStr">
        <is>
          <t>WTO Status, Fitch Rating, Fitch Outlook</t>
        </is>
      </c>
      <c r="E50" s="30" t="n"/>
    </row>
    <row r="51" ht="24" customHeight="1">
      <c r="A51" s="26" t="inlineStr">
        <is>
          <t>Categorical variable</t>
        </is>
      </c>
      <c r="B51" s="27" t="inlineStr">
        <is>
          <t>§1.2</t>
        </is>
      </c>
      <c r="C51" s="28" t="inlineStr">
        <is>
          <t>A variable with categorical data.</t>
        </is>
      </c>
      <c r="D51" s="29" t="inlineStr"/>
      <c r="E51" s="30" t="n"/>
    </row>
    <row r="52" ht="34" customHeight="1">
      <c r="A52" s="26" t="inlineStr">
        <is>
          <t>Quantitative data</t>
        </is>
      </c>
      <c r="B52" s="27" t="inlineStr">
        <is>
          <t>§1.2</t>
        </is>
      </c>
      <c r="C52" s="28" t="inlineStr">
        <is>
          <t>Numeric values that indicate how much or how many of something. Quantitative data are obtained using either the interval or ratio scale of measurement.</t>
        </is>
      </c>
      <c r="D52" s="31" t="inlineStr">
        <is>
          <t>Per Capita GDP ($) only</t>
        </is>
      </c>
      <c r="E52" s="30" t="n"/>
    </row>
    <row r="53" ht="24" customHeight="1">
      <c r="A53" s="26" t="inlineStr">
        <is>
          <t>Quantitative variable</t>
        </is>
      </c>
      <c r="B53" s="27" t="inlineStr">
        <is>
          <t>§1.2</t>
        </is>
      </c>
      <c r="C53" s="28" t="inlineStr">
        <is>
          <t>A variable with quantitative data.</t>
        </is>
      </c>
      <c r="D53" s="29" t="inlineStr"/>
      <c r="E53" s="30" t="n"/>
    </row>
    <row r="54" ht="24" customHeight="1">
      <c r="A54" s="26" t="inlineStr">
        <is>
          <t>Cross-sectional data</t>
        </is>
      </c>
      <c r="B54" s="27" t="inlineStr">
        <is>
          <t>§1.2</t>
        </is>
      </c>
      <c r="C54" s="28" t="inlineStr">
        <is>
          <t>Data collected at the same or approximately the same point in time.</t>
        </is>
      </c>
      <c r="D54" s="31" t="inlineStr">
        <is>
          <t>all 60 nations measured at one point in time</t>
        </is>
      </c>
      <c r="E54" s="30" t="n"/>
    </row>
    <row r="55" ht="24" customHeight="1">
      <c r="A55" s="26" t="inlineStr">
        <is>
          <t>Time series data</t>
        </is>
      </c>
      <c r="B55" s="27" t="inlineStr">
        <is>
          <t>§1.2</t>
        </is>
      </c>
      <c r="C55" s="28" t="inlineStr">
        <is>
          <t>Data collected over several time periods.</t>
        </is>
      </c>
      <c r="D55" s="31" t="inlineStr">
        <is>
          <t>not in this file — see DATAFiles/Ch02/DATAfiles/gdp_years.xlsx</t>
        </is>
      </c>
      <c r="E55" s="30" t="n"/>
    </row>
    <row r="56" ht="24" customHeight="1">
      <c r="A56" s="26" t="inlineStr">
        <is>
          <t>Descriptive statistics</t>
        </is>
      </c>
      <c r="B56" s="27" t="inlineStr">
        <is>
          <t>§1.4</t>
        </is>
      </c>
      <c r="C56" s="28" t="inlineStr">
        <is>
          <t>Tabular, graphical, and numerical summaries of data.</t>
        </is>
      </c>
      <c r="D56" s="31" t="inlineStr">
        <is>
          <t>the mean/median above; a bar chart of Fitch Outlook</t>
        </is>
      </c>
      <c r="E56" s="30" t="n"/>
    </row>
    <row r="57" ht="24" customHeight="1">
      <c r="A57" s="26" t="inlineStr">
        <is>
          <t>Population</t>
        </is>
      </c>
      <c r="B57" s="27" t="inlineStr">
        <is>
          <t>§1.5</t>
        </is>
      </c>
      <c r="C57" s="28" t="inlineStr">
        <is>
          <t>The set of all elements of interest in a particular study.</t>
        </is>
      </c>
      <c r="D57" s="31" t="inlineStr">
        <is>
          <t>all WTO members (roughly 164)</t>
        </is>
      </c>
      <c r="E57" s="30" t="n"/>
    </row>
    <row r="58" ht="24" customHeight="1">
      <c r="A58" s="26" t="inlineStr">
        <is>
          <t>Sample</t>
        </is>
      </c>
      <c r="B58" s="27" t="inlineStr">
        <is>
          <t>§1.5</t>
        </is>
      </c>
      <c r="C58" s="28" t="inlineStr">
        <is>
          <t>A subset of the population.</t>
        </is>
      </c>
      <c r="D58" s="31" t="inlineStr">
        <is>
          <t>these 60 nations — a subset, so the mean above is an estimate</t>
        </is>
      </c>
      <c r="E58" s="30" t="n"/>
    </row>
    <row r="59" ht="24" customHeight="1">
      <c r="A59" s="26" t="inlineStr">
        <is>
          <t>Census</t>
        </is>
      </c>
      <c r="B59" s="27" t="inlineStr">
        <is>
          <t>§1.5</t>
        </is>
      </c>
      <c r="C59" s="28" t="inlineStr">
        <is>
          <t>A survey to collect data on the entire population.</t>
        </is>
      </c>
      <c r="D59" s="29" t="inlineStr"/>
      <c r="E59" s="30" t="n"/>
    </row>
    <row r="60" ht="24" customHeight="1">
      <c r="A60" s="26" t="inlineStr">
        <is>
          <t>Sample survey</t>
        </is>
      </c>
      <c r="B60" s="27" t="inlineStr">
        <is>
          <t>§1.5</t>
        </is>
      </c>
      <c r="C60" s="28" t="inlineStr">
        <is>
          <t>A survey to collect data on a sample.</t>
        </is>
      </c>
      <c r="D60" s="29" t="inlineStr"/>
      <c r="E60" s="30" t="n"/>
    </row>
    <row r="61" ht="34" customHeight="1">
      <c r="A61" s="26" t="inlineStr">
        <is>
          <t>Statistical inference</t>
        </is>
      </c>
      <c r="B61" s="27" t="inlineStr">
        <is>
          <t>§1.5</t>
        </is>
      </c>
      <c r="C61" s="28" t="inlineStr">
        <is>
          <t>The process of using data obtained from a sample to make estimates or test hypotheses about the characteristics of a population.</t>
        </is>
      </c>
      <c r="D61" s="31" t="inlineStr">
        <is>
          <t>using these 60 to say something about all WTO members</t>
        </is>
      </c>
      <c r="E61" s="30" t="n"/>
    </row>
    <row r="62" ht="24" customHeight="1">
      <c r="A62" s="26" t="inlineStr">
        <is>
          <t>Statistics</t>
        </is>
      </c>
      <c r="B62" s="27" t="inlineStr">
        <is>
          <t>gen.</t>
        </is>
      </c>
      <c r="C62" s="28" t="inlineStr">
        <is>
          <t>The art and science of collecting, analyzing, presenting, and interpreting data.</t>
        </is>
      </c>
      <c r="D62" s="29" t="inlineStr"/>
      <c r="E62" s="30" t="n"/>
    </row>
    <row r="63" ht="24" customHeight="1">
      <c r="A63" s="32" t="inlineStr">
        <is>
          <t>Analytics</t>
        </is>
      </c>
      <c r="B63" s="33" t="inlineStr">
        <is>
          <t>§1.7</t>
        </is>
      </c>
      <c r="C63" s="34" t="inlineStr">
        <is>
          <t>The scientific process of transforming data into insight for making better decisions.</t>
        </is>
      </c>
      <c r="D63" s="35" t="inlineStr"/>
      <c r="E63" s="36" t="n"/>
    </row>
    <row r="64" ht="24" customHeight="1">
      <c r="A64" s="32" t="inlineStr">
        <is>
          <t>Descriptive Analytics</t>
        </is>
      </c>
      <c r="B64" s="33" t="inlineStr">
        <is>
          <t>§1.7</t>
        </is>
      </c>
      <c r="C64" s="34" t="inlineStr">
        <is>
          <t>The set of analytical techniques that describe what has happened in the past.</t>
        </is>
      </c>
      <c r="D64" s="35" t="inlineStr"/>
      <c r="E64" s="36" t="n"/>
    </row>
    <row r="65" ht="34" customHeight="1">
      <c r="A65" s="32" t="inlineStr">
        <is>
          <t>Predictive Analytics</t>
        </is>
      </c>
      <c r="B65" s="33" t="inlineStr">
        <is>
          <t>§1.7</t>
        </is>
      </c>
      <c r="C65" s="34" t="inlineStr">
        <is>
          <t>The set of analytical techniques that use models constructed from past data to predict the future or assess the impact of one variable on another.</t>
        </is>
      </c>
      <c r="D65" s="35" t="inlineStr"/>
      <c r="E65" s="36" t="n"/>
    </row>
    <row r="66" ht="24" customHeight="1">
      <c r="A66" s="32" t="inlineStr">
        <is>
          <t>Prescriptive Analytics</t>
        </is>
      </c>
      <c r="B66" s="33" t="inlineStr">
        <is>
          <t>§1.7</t>
        </is>
      </c>
      <c r="C66" s="34" t="inlineStr">
        <is>
          <t>The set of analytical techniques that yield a best course of action.</t>
        </is>
      </c>
      <c r="D66" s="35" t="inlineStr"/>
      <c r="E66" s="36" t="n"/>
    </row>
    <row r="67" ht="34" customHeight="1">
      <c r="A67" s="32" t="inlineStr">
        <is>
          <t>Big Data</t>
        </is>
      </c>
      <c r="B67" s="33" t="inlineStr">
        <is>
          <t>§1.8</t>
        </is>
      </c>
      <c r="C67" s="34" t="inlineStr">
        <is>
          <t>A set of data that cannot be managed, processed, or analyzed with commonly available software in a reasonable amount of time.</t>
        </is>
      </c>
      <c r="D67" s="35" t="inlineStr"/>
      <c r="E67" s="36" t="n"/>
    </row>
    <row r="68" ht="34" customHeight="1">
      <c r="A68" s="32" t="inlineStr">
        <is>
          <t>Data mining</t>
        </is>
      </c>
      <c r="B68" s="33" t="inlineStr">
        <is>
          <t>§1.8</t>
        </is>
      </c>
      <c r="C68" s="34" t="inlineStr">
        <is>
          <t>The process of using procedures from statistics and computer science to extract useful information from extremely large databases.</t>
        </is>
      </c>
      <c r="D68" s="35" t="inlineStr"/>
      <c r="E68" s="36" t="n"/>
    </row>
    <row r="69">
      <c r="A69" s="8" t="inlineStr">
        <is>
          <t>Shaded rows (§1.7-1.8) are Sep 1 material, not today's.</t>
        </is>
      </c>
    </row>
  </sheetData>
  <mergeCells count="39">
    <mergeCell ref="A39:E39"/>
    <mergeCell ref="D60:E60"/>
    <mergeCell ref="D63:E63"/>
    <mergeCell ref="A1:E1"/>
    <mergeCell ref="D46:E46"/>
    <mergeCell ref="D40:E40"/>
    <mergeCell ref="D65:E65"/>
    <mergeCell ref="D45:E45"/>
    <mergeCell ref="A69:E69"/>
    <mergeCell ref="D52:E52"/>
    <mergeCell ref="D49:E49"/>
    <mergeCell ref="D57:E57"/>
    <mergeCell ref="D61:E61"/>
    <mergeCell ref="A37:E37"/>
    <mergeCell ref="D41:E41"/>
    <mergeCell ref="D48:E48"/>
    <mergeCell ref="D66:E66"/>
    <mergeCell ref="A27:E27"/>
    <mergeCell ref="D53:E53"/>
    <mergeCell ref="D47:E47"/>
    <mergeCell ref="A2:E2"/>
    <mergeCell ref="D43:E43"/>
    <mergeCell ref="D62:E62"/>
    <mergeCell ref="A32:E32"/>
    <mergeCell ref="D56:E56"/>
    <mergeCell ref="D58:E58"/>
    <mergeCell ref="A17:E17"/>
    <mergeCell ref="A4:E4"/>
    <mergeCell ref="D55:E55"/>
    <mergeCell ref="D68:E68"/>
    <mergeCell ref="D42:E42"/>
    <mergeCell ref="D64:E64"/>
    <mergeCell ref="A10:E10"/>
    <mergeCell ref="D67:E67"/>
    <mergeCell ref="D51:E51"/>
    <mergeCell ref="D54:E54"/>
    <mergeCell ref="D50:E50"/>
    <mergeCell ref="D44:E44"/>
    <mergeCell ref="D59:E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</dc:creator>
  <dcterms:created xmlns:dcterms="http://purl.org/dc/terms/" xmlns:xsi="http://www.w3.org/2001/XMLSchema-instance" xsi:type="dcterms:W3CDTF">2012-04-27T22:19:54Z</dcterms:created>
  <dcterms:modified xmlns:dcterms="http://purl.org/dc/terms/" xmlns:xsi="http://www.w3.org/2001/XMLSchema-instance" xsi:type="dcterms:W3CDTF">2026-08-27T18:17:13Z</dcterms:modified>
  <cp:lastModifiedBy>Cochran, James</cp:lastModifiedBy>
</cp:coreProperties>
</file>