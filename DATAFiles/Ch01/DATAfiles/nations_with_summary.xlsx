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69j985\Documents\GitHub\BMGT-204IS\DATAFiles\Ch01\DATAfiles\"/>
    </mc:Choice>
  </mc:AlternateContent>
  <xr:revisionPtr revIDLastSave="0" documentId="13_ncr:1_{6CBE0B9D-ED7E-471C-8062-A7CFEFF0FB68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2" i="1"/>
  <c r="I3" i="1"/>
  <c r="I4" i="1"/>
  <c r="H5" i="1"/>
  <c r="H3" i="1"/>
  <c r="H4" i="1"/>
  <c r="I2" i="1"/>
  <c r="H2" i="1"/>
  <c r="A37" i="2" l="1"/>
  <c r="A36" i="2"/>
  <c r="A35" i="2"/>
  <c r="B30" i="2"/>
  <c r="B29" i="2"/>
  <c r="B26" i="2"/>
  <c r="B23" i="2"/>
  <c r="B22" i="2"/>
  <c r="B25" i="2" s="1"/>
  <c r="C21" i="2"/>
  <c r="B21" i="2"/>
  <c r="C20" i="2"/>
  <c r="B20" i="2"/>
  <c r="B19" i="2"/>
  <c r="E15" i="2"/>
  <c r="D15" i="2"/>
  <c r="E14" i="2"/>
  <c r="D14" i="2"/>
  <c r="E13" i="2"/>
  <c r="D13" i="2"/>
  <c r="E12" i="2"/>
  <c r="D12" i="2"/>
  <c r="B8" i="2"/>
  <c r="B7" i="2"/>
  <c r="B6" i="2"/>
  <c r="B5" i="2"/>
  <c r="B24" i="2" l="1"/>
</calcChain>
</file>

<file path=xl/sharedStrings.xml><?xml version="1.0" encoding="utf-8"?>
<sst xmlns="http://schemas.openxmlformats.org/spreadsheetml/2006/main" count="317" uniqueCount="144">
  <si>
    <t>Nation</t>
  </si>
  <si>
    <t>WTO Status</t>
  </si>
  <si>
    <t>Per Capita GDP ($)</t>
  </si>
  <si>
    <t>Fitch Rating</t>
  </si>
  <si>
    <t>Fitch Outlook</t>
  </si>
  <si>
    <t>Armenia</t>
  </si>
  <si>
    <t>Member</t>
  </si>
  <si>
    <t>B+</t>
  </si>
  <si>
    <t>Stable</t>
  </si>
  <si>
    <t>Australia</t>
  </si>
  <si>
    <t>AAA</t>
  </si>
  <si>
    <t>Negative</t>
  </si>
  <si>
    <t>Austria</t>
  </si>
  <si>
    <t>AA+</t>
  </si>
  <si>
    <t>Azerbaijan</t>
  </si>
  <si>
    <t>Observer</t>
  </si>
  <si>
    <t>BB+</t>
  </si>
  <si>
    <t>Bahrain</t>
  </si>
  <si>
    <t>Belgium</t>
  </si>
  <si>
    <t>AA-</t>
  </si>
  <si>
    <t>Brazil</t>
  </si>
  <si>
    <t>BB-</t>
  </si>
  <si>
    <t>Bulgaria</t>
  </si>
  <si>
    <t>BBB</t>
  </si>
  <si>
    <t>Positive</t>
  </si>
  <si>
    <t>Canada</t>
  </si>
  <si>
    <t>Cape Verde</t>
  </si>
  <si>
    <t>B-</t>
  </si>
  <si>
    <t>Chile</t>
  </si>
  <si>
    <t>A-</t>
  </si>
  <si>
    <t>China</t>
  </si>
  <si>
    <t>A+</t>
  </si>
  <si>
    <t>Colombia</t>
  </si>
  <si>
    <t>BBB-</t>
  </si>
  <si>
    <t>CoStable Rica</t>
  </si>
  <si>
    <t>B</t>
  </si>
  <si>
    <t>Croatia</t>
  </si>
  <si>
    <t>Cyprus</t>
  </si>
  <si>
    <t>Czech Republic</t>
  </si>
  <si>
    <t>Denmark</t>
  </si>
  <si>
    <t>Ecuador</t>
  </si>
  <si>
    <t>Egypt</t>
  </si>
  <si>
    <t>El Salvador</t>
  </si>
  <si>
    <t>Estonia</t>
  </si>
  <si>
    <t>France</t>
  </si>
  <si>
    <t>AA</t>
  </si>
  <si>
    <t>Georgia</t>
  </si>
  <si>
    <t>BB</t>
  </si>
  <si>
    <t>Germany</t>
  </si>
  <si>
    <t>Hungary</t>
  </si>
  <si>
    <t>Iceland</t>
  </si>
  <si>
    <t>A</t>
  </si>
  <si>
    <t>Ireland</t>
  </si>
  <si>
    <t>Israel</t>
  </si>
  <si>
    <t>Italy</t>
  </si>
  <si>
    <t>Japan</t>
  </si>
  <si>
    <t>Kazakhstan</t>
  </si>
  <si>
    <t>Kenya</t>
  </si>
  <si>
    <t>Latvia</t>
  </si>
  <si>
    <t>Iraq</t>
  </si>
  <si>
    <t>Lithuania</t>
  </si>
  <si>
    <t>Malaysia</t>
  </si>
  <si>
    <t>BBB+</t>
  </si>
  <si>
    <t>Mexico</t>
  </si>
  <si>
    <t>Peru</t>
  </si>
  <si>
    <t>Philippines</t>
  </si>
  <si>
    <t>Poland</t>
  </si>
  <si>
    <t>Portugal</t>
  </si>
  <si>
    <t>South Korea</t>
  </si>
  <si>
    <t>Romania</t>
  </si>
  <si>
    <t>Russia</t>
  </si>
  <si>
    <t>Rwanda</t>
  </si>
  <si>
    <t>Serbia</t>
  </si>
  <si>
    <t>Singapore</t>
  </si>
  <si>
    <t>Slovakia</t>
  </si>
  <si>
    <t>Slovenia</t>
  </si>
  <si>
    <t>South Africa</t>
  </si>
  <si>
    <t>Spain</t>
  </si>
  <si>
    <t>Sweden</t>
  </si>
  <si>
    <t>Switzerland</t>
  </si>
  <si>
    <t>Thailand</t>
  </si>
  <si>
    <t>Turkey</t>
  </si>
  <si>
    <t>United Kingdom</t>
  </si>
  <si>
    <t>Uruguay</t>
  </si>
  <si>
    <t>United States</t>
  </si>
  <si>
    <t>Vietnam</t>
  </si>
  <si>
    <t>BMGT 240IS · Chapter 1 · nations.xlsx — Summary</t>
  </si>
  <si>
    <t>Camm et al., Essentials of Modern Business Statistics with Microsoft Excel, 9e · §1.2  — every figure below is a live formula against the Data sheet, not a pasted value.</t>
  </si>
  <si>
    <t>DATA SET ANATOMY</t>
  </si>
  <si>
    <t>Elements (nations)</t>
  </si>
  <si>
    <t>column A holds observation names, not data</t>
  </si>
  <si>
    <t>Variables</t>
  </si>
  <si>
    <t>B1:E1 — 'Nation' is a label, not a variable</t>
  </si>
  <si>
    <t>Observations</t>
  </si>
  <si>
    <t>one per element; a data set with n elements has n observations</t>
  </si>
  <si>
    <t>Data values</t>
  </si>
  <si>
    <t>elements × variables</t>
  </si>
  <si>
    <t>VARIABLE SUMMARY</t>
  </si>
  <si>
    <t>Variable</t>
  </si>
  <si>
    <t>Scale of measurement</t>
  </si>
  <si>
    <t>Categorical / quantitative</t>
  </si>
  <si>
    <t>Distinct values</t>
  </si>
  <si>
    <t>Distribution in this file</t>
  </si>
  <si>
    <t>Nominal</t>
  </si>
  <si>
    <t>Categorical</t>
  </si>
  <si>
    <t>← no interval-scale variable in this file; the book uses SAT scores for that</t>
  </si>
  <si>
    <t>Ratio</t>
  </si>
  <si>
    <t>Quantitative</t>
  </si>
  <si>
    <t>Ordinal</t>
  </si>
  <si>
    <t>PER CAPITA GDP ($) — NUMERIC SUMMARY</t>
  </si>
  <si>
    <t>n</t>
  </si>
  <si>
    <t>all 60 cells numeric — compare COUNT with COUNTA</t>
  </si>
  <si>
    <t>Minimum</t>
  </si>
  <si>
    <t>Maximum</t>
  </si>
  <si>
    <t>Mean</t>
  </si>
  <si>
    <t>Median</t>
  </si>
  <si>
    <t>Mean ÷ median</t>
  </si>
  <si>
    <t>above 1 means right-skewed — a few very rich nations pull the mean up</t>
  </si>
  <si>
    <t>Nations above the mean</t>
  </si>
  <si>
    <t>out of 60 — the mean is not 'the middle'</t>
  </si>
  <si>
    <t>Standard deviation (sample)</t>
  </si>
  <si>
    <t>course convention: .S variants</t>
  </si>
  <si>
    <t>WHICH ARITHMETIC IS LEGAL — the day-1 demo</t>
  </si>
  <si>
    <t>Ratio scale — the mean means something:</t>
  </si>
  <si>
    <t>Ordinal scale — Excel refuses, loudly:</t>
  </si>
  <si>
    <t>returns #DIV/0! — the column is entirely text, so there is nothing to average</t>
  </si>
  <si>
    <t>The dangerous case is the one that does NOT error:</t>
  </si>
  <si>
    <t>in compactsuv.xlsx, =AVERAGE(E2:E16) returns a clean, wrong 0 — seven numeric zeros averaged, eight text cells silently discarded. COUNT vs COUNTA is the only tell.</t>
  </si>
  <si>
    <t>DATA QUALITY FLAGS — errors present in the publisher file (§1.3, §1.9)</t>
  </si>
  <si>
    <t>Row</t>
  </si>
  <si>
    <t>Problem</t>
  </si>
  <si>
    <t>How it is detectable</t>
  </si>
  <si>
    <t>Should read "Costa Rica". A find-and-replace of "sta" to "Stable" hit column A.</t>
  </si>
  <si>
    <t>String scan — no outside knowledge needed</t>
  </si>
  <si>
    <t>Per capita GDP of $1,805 is wrong by roughly 17x; actual is near $31,600.</t>
  </si>
  <si>
    <t>Cross-column contradiction: a nation rated AA- cannot sit below Kenya</t>
  </si>
  <si>
    <t>GDP of $43,258 is wrong; actual is near $3,000 — and it duplicates Canada's value exactly.</t>
  </si>
  <si>
    <t>Duplicate check: identical to the row above it</t>
  </si>
  <si>
    <t>Each error is caught by a different technique — a string scan, a cross-column sanity check, and a duplicate check. That is a repeatable data audit, on the textbook's own file.</t>
  </si>
  <si>
    <t>Outlook</t>
  </si>
  <si>
    <t>Frequency</t>
  </si>
  <si>
    <t>Total</t>
  </si>
  <si>
    <t>Relative Frequency</t>
  </si>
  <si>
    <t>Precent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</si>
</sst>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\$#,##0"/>
  </numFmts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E3160"/>
      <name val="Calibri"/>
    </font>
    <font>
      <i/>
      <sz val="9"/>
      <color rgb="FF5C687A"/>
      <name val="Calibri"/>
    </font>
    <font>
      <b/>
      <sz val="11"/>
      <color rgb="FFFFFFFF"/>
      <name val="Calibri"/>
    </font>
    <font>
      <b/>
      <sz val="12"/>
      <name val="Calibri"/>
    </font>
    <font>
      <b/>
      <sz val="10"/>
      <color rgb="FF0E316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E3160"/>
      </patternFill>
    </fill>
    <fill>
      <patternFill patternType="solid">
        <fgColor rgb="FFE8EDF5"/>
      </patternFill>
    </fill>
    <fill>
      <patternFill patternType="solid">
        <fgColor rgb="FFF5EFDF"/>
      </patternFill>
    </fill>
  </fills>
  <borders count="2">
    <border>
      <left/>
      <right/>
      <top/>
      <bottom/>
      <diagonal/>
    </border>
    <border>
      <left style="thin">
        <color rgb="FFC9D0D9"/>
      </left>
      <right style="thin">
        <color rgb="FFC9D0D9"/>
      </right>
      <top style="thin">
        <color rgb="FFC9D0D9"/>
      </top>
      <bottom style="thin">
        <color rgb="FFC9D0D9"/>
      </bottom>
      <diagonal/>
    </border>
  </borders>
  <cellStyleXfs count="2">
    <xf numFmtId="0" fontId="0" fillId="0" borderId="0"/>
    <xf numFmtId="43" fontId="2" fillId="0" borderId="0"/>
  </cellStyleXfs>
  <cellXfs count="28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/>
    <xf numFmtId="0" fontId="8" fillId="0" borderId="1" xfId="0" applyFont="1" applyBorder="1"/>
    <xf numFmtId="0" fontId="0" fillId="0" borderId="1" xfId="0" applyBorder="1" applyAlignment="1">
      <alignment horizontal="right"/>
    </xf>
    <xf numFmtId="0" fontId="9" fillId="3" borderId="1" xfId="0" applyFont="1" applyFill="1" applyBorder="1" applyAlignment="1">
      <alignment wrapText="1"/>
    </xf>
    <xf numFmtId="0" fontId="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165" fontId="0" fillId="0" borderId="1" xfId="0" applyNumberFormat="1" applyBorder="1"/>
    <xf numFmtId="0" fontId="0" fillId="0" borderId="1" xfId="0" applyBorder="1"/>
    <xf numFmtId="0" fontId="8" fillId="4" borderId="1" xfId="0" applyFont="1" applyFill="1" applyBorder="1"/>
    <xf numFmtId="0" fontId="0" fillId="4" borderId="1" xfId="0" applyFill="1" applyBorder="1"/>
    <xf numFmtId="0" fontId="9" fillId="3" borderId="1" xfId="0" applyFont="1" applyFill="1" applyBorder="1"/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/>
    <xf numFmtId="0" fontId="0" fillId="0" borderId="0" xfId="0"/>
    <xf numFmtId="0" fontId="7" fillId="2" borderId="0" xfId="0" applyFont="1" applyFill="1" applyAlignment="1">
      <alignment horizontal="left" vertical="center"/>
    </xf>
    <xf numFmtId="0" fontId="5" fillId="0" borderId="0" xfId="0" applyFont="1"/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Fitch Outlook, 60 WTO Nations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Data!$H$1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Data!$G$2:$G$4</c:f>
              <c:strCache>
                <c:ptCount val="3"/>
                <c:pt idx="0">
                  <c:v>Negative</c:v>
                </c:pt>
                <c:pt idx="1">
                  <c:v>Stable</c:v>
                </c:pt>
                <c:pt idx="2">
                  <c:v>Positive</c:v>
                </c:pt>
              </c:strCache>
            </c:strRef>
          </c:cat>
          <c:val>
            <c:numRef>
              <c:f>Data!$H$2:$H$4</c:f>
              <c:numCache>
                <c:formatCode>General</c:formatCode>
                <c:ptCount val="3"/>
                <c:pt idx="0">
                  <c:v>18</c:v>
                </c:pt>
                <c:pt idx="1">
                  <c:v>39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F-4285-96DE-6F7250D94709}"/>
            </c:ext>
          </c:extLst>
        </c:ser>
        <c:ser>
          <c:idx val="1"/>
          <c:order val="1"/>
          <c:tx>
            <c:strRef>
              <c:f>Data!$I$1</c:f>
              <c:strCache>
                <c:ptCount val="1"/>
                <c:pt idx="0">
                  <c:v>Relative 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Data!$G$2:$G$4</c:f>
              <c:strCache>
                <c:ptCount val="3"/>
                <c:pt idx="0">
                  <c:v>Negative</c:v>
                </c:pt>
                <c:pt idx="1">
                  <c:v>Stable</c:v>
                </c:pt>
                <c:pt idx="2">
                  <c:v>Positive</c:v>
                </c:pt>
              </c:strCache>
            </c:strRef>
          </c:cat>
          <c:val>
            <c:numRef>
              <c:f>Data!$I$2:$I$4</c:f>
              <c:numCache>
                <c:formatCode>General</c:formatCode>
                <c:ptCount val="3"/>
                <c:pt idx="0">
                  <c:v>0.3</c:v>
                </c:pt>
                <c:pt idx="1">
                  <c:v>0.65</c:v>
                </c:pt>
                <c:pt idx="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4F-4285-96DE-6F7250D94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4290672"/>
        <c:axId val="854879696"/>
      </c:barChart>
      <c:catAx>
        <c:axId val="764290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Fitch</a:t>
                </a:r>
                <a:r>
                  <a:rPr lang="en-US" baseline="0"/>
                  <a:t> Outlook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879696"/>
        <c:crosses val="autoZero"/>
        <c:auto val="1"/>
        <c:lblAlgn val="ctr"/>
        <c:lblOffset val="100"/>
        <c:noMultiLvlLbl val="0"/>
      </c:catAx>
      <c:valAx>
        <c:axId val="85487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9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339090</xdr:colOff>
      <xdr:row>5</xdr:row>
      <xdr:rowOff>11430</xdr:rowOff>
    </xdr:from>
    <xdr:to>
      <xdr:col>10</xdr:col>
      <xdr:colOff>453390</xdr:colOff>
      <xdr:row>20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F2CD30-B12D-06DF-7753-CD1BA10C9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E445FC6-03F3-4E3A-AF5A-398335AF462E}">
  <we:reference id="73d20708-c99a-400a-95ae-5f6b394f4054" version="2.0.0.0" store="EXCatalog" storeType="EXCatalog"/>
  <we:alternateReferences>
    <we:reference id="WA104379190" version="2.0.0.0" store="en-US" storeType="OMEX"/>
  </we:alternateReferences>
  <we:properties/>
  <we:bindings>
    <we:binding id="RangeSelect" type="matrix" appref="{92303702-82AC-4B17-B3ED-57EB61D6700C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selection activeCell="G27" sqref="G27"/>
    </sheetView>
  </sheetViews>
  <sheetFormatPr defaultColWidth="9" defaultRowHeight="14.4" x14ac:dyDescent="0.3"/>
  <cols>
    <col min="1" max="1" width="13.796875" style="2" bestFit="1" customWidth="1"/>
    <col min="2" max="2" width="13.296875" style="2" customWidth="1"/>
    <col min="3" max="3" width="17.59765625" style="2" customWidth="1"/>
    <col min="4" max="4" width="15" style="3" customWidth="1"/>
    <col min="5" max="5" width="17.296875" style="3" customWidth="1"/>
    <col min="6" max="6" width="9" style="2" customWidth="1"/>
    <col min="7" max="8" width="9" style="2"/>
    <col min="9" max="9" width="16.5" style="2" customWidth="1"/>
    <col min="10" max="10" width="15" style="2" customWidth="1"/>
    <col min="11" max="16384" width="9" style="2"/>
  </cols>
  <sheetData>
    <row r="1" spans="1:10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7" t="s">
        <v>139</v>
      </c>
      <c r="H1" s="27" t="s">
        <v>140</v>
      </c>
      <c r="I1" s="27" t="s">
        <v>142</v>
      </c>
      <c r="J1" s="27" t="s">
        <v>143</v>
      </c>
    </row>
    <row r="2" spans="1:10" x14ac:dyDescent="0.3">
      <c r="A2" s="5" t="s">
        <v>5</v>
      </c>
      <c r="B2" s="3" t="s">
        <v>6</v>
      </c>
      <c r="C2" s="4">
        <v>4267</v>
      </c>
      <c r="D2" s="5" t="s">
        <v>7</v>
      </c>
      <c r="E2" s="5" t="s">
        <v>8</v>
      </c>
      <c r="F2" s="27"/>
      <c r="G2" s="27" t="s">
        <v>11</v>
      </c>
      <c r="H2" s="2">
        <f>COUNTIF($E$2:$E$61,G2)</f>
        <v>18</v>
      </c>
      <c r="I2" s="2">
        <f>H2/$H$5</f>
        <v>0.3</v>
      </c>
      <c r="J2" s="2">
        <f>I2*100</f>
        <v>30</v>
      </c>
    </row>
    <row r="3" spans="1:10" x14ac:dyDescent="0.3">
      <c r="A3" s="5" t="s">
        <v>9</v>
      </c>
      <c r="B3" s="3" t="s">
        <v>6</v>
      </c>
      <c r="C3" s="4">
        <v>51812</v>
      </c>
      <c r="D3" s="5" t="s">
        <v>10</v>
      </c>
      <c r="E3" s="5" t="s">
        <v>11</v>
      </c>
      <c r="G3" s="27" t="s">
        <v>8</v>
      </c>
      <c r="H3" s="2">
        <f t="shared" ref="H3:H5" si="0">COUNTIF($E$2:$E$61,G3)</f>
        <v>39</v>
      </c>
      <c r="I3" s="2">
        <f t="shared" ref="I3:I4" si="1">H3/$H$5</f>
        <v>0.65</v>
      </c>
      <c r="J3" s="2">
        <f t="shared" ref="J3:J4" si="2">I3*100</f>
        <v>65</v>
      </c>
    </row>
    <row r="4" spans="1:10" x14ac:dyDescent="0.3">
      <c r="A4" s="5" t="s">
        <v>12</v>
      </c>
      <c r="B4" s="3" t="s">
        <v>6</v>
      </c>
      <c r="C4" s="4">
        <v>48328</v>
      </c>
      <c r="D4" s="5" t="s">
        <v>13</v>
      </c>
      <c r="E4" s="5" t="s">
        <v>8</v>
      </c>
      <c r="G4" s="27" t="s">
        <v>24</v>
      </c>
      <c r="H4" s="2">
        <f t="shared" si="0"/>
        <v>3</v>
      </c>
      <c r="I4" s="2">
        <f t="shared" si="1"/>
        <v>0.05</v>
      </c>
      <c r="J4" s="2">
        <f t="shared" si="2"/>
        <v>5</v>
      </c>
    </row>
    <row r="5" spans="1:10" x14ac:dyDescent="0.3">
      <c r="A5" s="5" t="s">
        <v>14</v>
      </c>
      <c r="B5" s="3" t="s">
        <v>15</v>
      </c>
      <c r="C5" s="4">
        <v>4214</v>
      </c>
      <c r="D5" s="5" t="s">
        <v>16</v>
      </c>
      <c r="E5" s="5" t="s">
        <v>8</v>
      </c>
      <c r="G5" s="27" t="s">
        <v>141</v>
      </c>
      <c r="H5" s="2">
        <f>SUM(H2:H4)</f>
        <v>60</v>
      </c>
    </row>
    <row r="6" spans="1:10" x14ac:dyDescent="0.3">
      <c r="A6" s="5" t="s">
        <v>17</v>
      </c>
      <c r="B6" s="3" t="s">
        <v>6</v>
      </c>
      <c r="C6" s="4">
        <v>28608</v>
      </c>
      <c r="D6" s="5" t="s">
        <v>7</v>
      </c>
      <c r="E6" s="5" t="s">
        <v>8</v>
      </c>
    </row>
    <row r="7" spans="1:10" x14ac:dyDescent="0.3">
      <c r="A7" s="5" t="s">
        <v>18</v>
      </c>
      <c r="B7" s="3" t="s">
        <v>6</v>
      </c>
      <c r="C7" s="4">
        <v>44594</v>
      </c>
      <c r="D7" s="5" t="s">
        <v>19</v>
      </c>
      <c r="E7" s="5" t="s">
        <v>11</v>
      </c>
    </row>
    <row r="8" spans="1:10" x14ac:dyDescent="0.3">
      <c r="A8" s="5" t="s">
        <v>20</v>
      </c>
      <c r="B8" s="3" t="s">
        <v>6</v>
      </c>
      <c r="C8" s="4">
        <v>6797</v>
      </c>
      <c r="D8" s="5" t="s">
        <v>21</v>
      </c>
      <c r="E8" s="5" t="s">
        <v>11</v>
      </c>
    </row>
    <row r="9" spans="1:10" x14ac:dyDescent="0.3">
      <c r="A9" s="5" t="s">
        <v>22</v>
      </c>
      <c r="B9" s="3" t="s">
        <v>6</v>
      </c>
      <c r="C9" s="4">
        <v>9976</v>
      </c>
      <c r="D9" s="5" t="s">
        <v>23</v>
      </c>
      <c r="E9" s="5" t="s">
        <v>24</v>
      </c>
    </row>
    <row r="10" spans="1:10" x14ac:dyDescent="0.3">
      <c r="A10" s="5" t="s">
        <v>25</v>
      </c>
      <c r="B10" s="3" t="s">
        <v>6</v>
      </c>
      <c r="C10" s="4">
        <v>43258</v>
      </c>
      <c r="D10" s="5" t="s">
        <v>13</v>
      </c>
      <c r="E10" s="5" t="s">
        <v>8</v>
      </c>
    </row>
    <row r="11" spans="1:10" x14ac:dyDescent="0.3">
      <c r="A11" s="5" t="s">
        <v>26</v>
      </c>
      <c r="B11" s="3" t="s">
        <v>6</v>
      </c>
      <c r="C11" s="4">
        <v>43258</v>
      </c>
      <c r="D11" s="5" t="s">
        <v>27</v>
      </c>
      <c r="E11" s="5" t="s">
        <v>8</v>
      </c>
    </row>
    <row r="12" spans="1:10" x14ac:dyDescent="0.3">
      <c r="A12" s="5" t="s">
        <v>28</v>
      </c>
      <c r="B12" s="3" t="s">
        <v>6</v>
      </c>
      <c r="C12" s="4">
        <v>13232</v>
      </c>
      <c r="D12" s="5" t="s">
        <v>29</v>
      </c>
      <c r="E12" s="5" t="s">
        <v>8</v>
      </c>
    </row>
    <row r="13" spans="1:10" x14ac:dyDescent="0.3">
      <c r="A13" s="5" t="s">
        <v>30</v>
      </c>
      <c r="B13" s="3" t="s">
        <v>6</v>
      </c>
      <c r="C13" s="4">
        <v>10500</v>
      </c>
      <c r="D13" s="5" t="s">
        <v>31</v>
      </c>
      <c r="E13" s="5" t="s">
        <v>8</v>
      </c>
    </row>
    <row r="14" spans="1:10" x14ac:dyDescent="0.3">
      <c r="A14" s="5" t="s">
        <v>32</v>
      </c>
      <c r="B14" s="3" t="s">
        <v>6</v>
      </c>
      <c r="C14" s="4">
        <v>5333</v>
      </c>
      <c r="D14" s="5" t="s">
        <v>33</v>
      </c>
      <c r="E14" s="5" t="s">
        <v>11</v>
      </c>
    </row>
    <row r="15" spans="1:10" x14ac:dyDescent="0.3">
      <c r="A15" s="5" t="s">
        <v>34</v>
      </c>
      <c r="B15" s="3" t="s">
        <v>6</v>
      </c>
      <c r="C15" s="4">
        <v>12077</v>
      </c>
      <c r="D15" s="5" t="s">
        <v>35</v>
      </c>
      <c r="E15" s="5" t="s">
        <v>11</v>
      </c>
    </row>
    <row r="16" spans="1:10" x14ac:dyDescent="0.3">
      <c r="A16" s="5" t="s">
        <v>36</v>
      </c>
      <c r="B16" s="3" t="s">
        <v>6</v>
      </c>
      <c r="C16" s="4">
        <v>13828</v>
      </c>
      <c r="D16" s="5" t="s">
        <v>33</v>
      </c>
      <c r="E16" s="5" t="s">
        <v>8</v>
      </c>
    </row>
    <row r="17" spans="1:5" x14ac:dyDescent="0.3">
      <c r="A17" s="5" t="s">
        <v>37</v>
      </c>
      <c r="B17" s="3" t="s">
        <v>6</v>
      </c>
      <c r="C17" s="4">
        <v>26624</v>
      </c>
      <c r="D17" s="5" t="s">
        <v>33</v>
      </c>
      <c r="E17" s="5" t="s">
        <v>8</v>
      </c>
    </row>
    <row r="18" spans="1:5" x14ac:dyDescent="0.3">
      <c r="A18" s="5" t="s">
        <v>38</v>
      </c>
      <c r="B18" s="3" t="s">
        <v>6</v>
      </c>
      <c r="C18" s="4">
        <v>22932</v>
      </c>
      <c r="D18" s="5" t="s">
        <v>19</v>
      </c>
      <c r="E18" s="5" t="s">
        <v>8</v>
      </c>
    </row>
    <row r="19" spans="1:5" x14ac:dyDescent="0.3">
      <c r="A19" s="5" t="s">
        <v>39</v>
      </c>
      <c r="B19" s="3" t="s">
        <v>6</v>
      </c>
      <c r="C19" s="4">
        <v>61063</v>
      </c>
      <c r="D19" s="5" t="s">
        <v>10</v>
      </c>
      <c r="E19" s="5" t="s">
        <v>8</v>
      </c>
    </row>
    <row r="20" spans="1:5" x14ac:dyDescent="0.3">
      <c r="A20" s="5" t="s">
        <v>40</v>
      </c>
      <c r="B20" s="3" t="s">
        <v>6</v>
      </c>
      <c r="C20" s="4">
        <v>5600</v>
      </c>
      <c r="D20" s="5" t="s">
        <v>27</v>
      </c>
      <c r="E20" s="5" t="s">
        <v>8</v>
      </c>
    </row>
    <row r="21" spans="1:5" x14ac:dyDescent="0.3">
      <c r="A21" s="5" t="s">
        <v>41</v>
      </c>
      <c r="B21" s="3" t="s">
        <v>6</v>
      </c>
      <c r="C21" s="4">
        <v>5600</v>
      </c>
      <c r="D21" s="5" t="s">
        <v>7</v>
      </c>
      <c r="E21" s="5" t="s">
        <v>8</v>
      </c>
    </row>
    <row r="22" spans="1:5" x14ac:dyDescent="0.3">
      <c r="A22" s="5" t="s">
        <v>42</v>
      </c>
      <c r="B22" s="3" t="s">
        <v>6</v>
      </c>
      <c r="C22" s="4">
        <v>3799</v>
      </c>
      <c r="D22" s="5" t="s">
        <v>27</v>
      </c>
      <c r="E22" s="5" t="s">
        <v>11</v>
      </c>
    </row>
    <row r="23" spans="1:5" x14ac:dyDescent="0.3">
      <c r="A23" s="5" t="s">
        <v>43</v>
      </c>
      <c r="B23" s="3" t="s">
        <v>6</v>
      </c>
      <c r="C23" s="4">
        <v>23027</v>
      </c>
      <c r="D23" s="5" t="s">
        <v>19</v>
      </c>
      <c r="E23" s="5" t="s">
        <v>8</v>
      </c>
    </row>
    <row r="24" spans="1:5" x14ac:dyDescent="0.3">
      <c r="A24" s="5" t="s">
        <v>44</v>
      </c>
      <c r="B24" s="3" t="s">
        <v>6</v>
      </c>
      <c r="C24" s="4">
        <v>39030</v>
      </c>
      <c r="D24" s="5" t="s">
        <v>45</v>
      </c>
      <c r="E24" s="5" t="s">
        <v>11</v>
      </c>
    </row>
    <row r="25" spans="1:5" x14ac:dyDescent="0.3">
      <c r="A25" s="5" t="s">
        <v>46</v>
      </c>
      <c r="B25" s="3" t="s">
        <v>6</v>
      </c>
      <c r="C25" s="4">
        <v>4279</v>
      </c>
      <c r="D25" s="5" t="s">
        <v>47</v>
      </c>
      <c r="E25" s="5" t="s">
        <v>11</v>
      </c>
    </row>
    <row r="26" spans="1:5" x14ac:dyDescent="0.3">
      <c r="A26" s="5" t="s">
        <v>48</v>
      </c>
      <c r="B26" s="3" t="s">
        <v>6</v>
      </c>
      <c r="C26" s="4">
        <v>46208</v>
      </c>
      <c r="D26" s="5" t="s">
        <v>10</v>
      </c>
      <c r="E26" s="5" t="s">
        <v>8</v>
      </c>
    </row>
    <row r="27" spans="1:5" x14ac:dyDescent="0.3">
      <c r="A27" s="5" t="s">
        <v>49</v>
      </c>
      <c r="B27" s="3" t="s">
        <v>6</v>
      </c>
      <c r="C27" s="4">
        <v>15899</v>
      </c>
      <c r="D27" s="5" t="s">
        <v>23</v>
      </c>
      <c r="E27" s="5" t="s">
        <v>8</v>
      </c>
    </row>
    <row r="28" spans="1:5" x14ac:dyDescent="0.3">
      <c r="A28" s="5" t="s">
        <v>50</v>
      </c>
      <c r="B28" s="3" t="s">
        <v>6</v>
      </c>
      <c r="C28" s="4">
        <v>59270</v>
      </c>
      <c r="D28" s="5" t="s">
        <v>51</v>
      </c>
      <c r="E28" s="5" t="s">
        <v>11</v>
      </c>
    </row>
    <row r="29" spans="1:5" x14ac:dyDescent="0.3">
      <c r="A29" s="5" t="s">
        <v>52</v>
      </c>
      <c r="B29" s="3" t="s">
        <v>6</v>
      </c>
      <c r="C29" s="4">
        <v>85268</v>
      </c>
      <c r="D29" s="5" t="s">
        <v>31</v>
      </c>
      <c r="E29" s="5" t="s">
        <v>8</v>
      </c>
    </row>
    <row r="30" spans="1:5" x14ac:dyDescent="0.3">
      <c r="A30" s="5" t="s">
        <v>53</v>
      </c>
      <c r="B30" s="3" t="s">
        <v>6</v>
      </c>
      <c r="C30" s="4">
        <v>43611</v>
      </c>
      <c r="D30" s="5" t="s">
        <v>31</v>
      </c>
      <c r="E30" s="5" t="s">
        <v>8</v>
      </c>
    </row>
    <row r="31" spans="1:5" x14ac:dyDescent="0.3">
      <c r="A31" s="5" t="s">
        <v>54</v>
      </c>
      <c r="B31" s="3" t="s">
        <v>6</v>
      </c>
      <c r="C31" s="4">
        <v>31676</v>
      </c>
      <c r="D31" s="5" t="s">
        <v>33</v>
      </c>
      <c r="E31" s="5" t="s">
        <v>8</v>
      </c>
    </row>
    <row r="32" spans="1:5" x14ac:dyDescent="0.3">
      <c r="A32" s="5" t="s">
        <v>55</v>
      </c>
      <c r="B32" s="3" t="s">
        <v>6</v>
      </c>
      <c r="C32" s="4">
        <v>39539</v>
      </c>
      <c r="D32" s="5" t="s">
        <v>51</v>
      </c>
      <c r="E32" s="5" t="s">
        <v>11</v>
      </c>
    </row>
    <row r="33" spans="1:5" x14ac:dyDescent="0.3">
      <c r="A33" s="5" t="s">
        <v>56</v>
      </c>
      <c r="B33" s="3" t="s">
        <v>6</v>
      </c>
      <c r="C33" s="4">
        <v>9056</v>
      </c>
      <c r="D33" s="5" t="s">
        <v>23</v>
      </c>
      <c r="E33" s="5" t="s">
        <v>8</v>
      </c>
    </row>
    <row r="34" spans="1:5" x14ac:dyDescent="0.3">
      <c r="A34" s="5" t="s">
        <v>57</v>
      </c>
      <c r="B34" s="3" t="s">
        <v>6</v>
      </c>
      <c r="C34" s="4">
        <v>1838</v>
      </c>
      <c r="D34" s="5" t="s">
        <v>7</v>
      </c>
      <c r="E34" s="5" t="s">
        <v>11</v>
      </c>
    </row>
    <row r="35" spans="1:5" x14ac:dyDescent="0.3">
      <c r="A35" s="5" t="s">
        <v>58</v>
      </c>
      <c r="B35" s="3" t="s">
        <v>6</v>
      </c>
      <c r="C35" s="4">
        <v>17620</v>
      </c>
      <c r="D35" s="5" t="s">
        <v>29</v>
      </c>
      <c r="E35" s="5" t="s">
        <v>8</v>
      </c>
    </row>
    <row r="36" spans="1:5" x14ac:dyDescent="0.3">
      <c r="A36" s="5" t="s">
        <v>59</v>
      </c>
      <c r="B36" s="3" t="s">
        <v>15</v>
      </c>
      <c r="C36" s="4">
        <v>4157</v>
      </c>
      <c r="D36" s="5" t="s">
        <v>27</v>
      </c>
      <c r="E36" s="5" t="s">
        <v>8</v>
      </c>
    </row>
    <row r="37" spans="1:5" x14ac:dyDescent="0.3">
      <c r="A37" s="5" t="s">
        <v>60</v>
      </c>
      <c r="B37" s="3" t="s">
        <v>6</v>
      </c>
      <c r="C37" s="4">
        <v>19998</v>
      </c>
      <c r="D37" s="5" t="s">
        <v>51</v>
      </c>
      <c r="E37" s="5" t="s">
        <v>8</v>
      </c>
    </row>
    <row r="38" spans="1:5" x14ac:dyDescent="0.3">
      <c r="A38" s="5" t="s">
        <v>61</v>
      </c>
      <c r="B38" s="3" t="s">
        <v>6</v>
      </c>
      <c r="C38" s="4">
        <v>10402</v>
      </c>
      <c r="D38" s="5" t="s">
        <v>62</v>
      </c>
      <c r="E38" s="5" t="s">
        <v>8</v>
      </c>
    </row>
    <row r="39" spans="1:5" x14ac:dyDescent="0.3">
      <c r="A39" s="5" t="s">
        <v>63</v>
      </c>
      <c r="B39" s="3" t="s">
        <v>6</v>
      </c>
      <c r="C39" s="4">
        <v>8347</v>
      </c>
      <c r="D39" s="5" t="s">
        <v>33</v>
      </c>
      <c r="E39" s="5" t="s">
        <v>8</v>
      </c>
    </row>
    <row r="40" spans="1:5" x14ac:dyDescent="0.3">
      <c r="A40" s="5" t="s">
        <v>64</v>
      </c>
      <c r="B40" s="3" t="s">
        <v>6</v>
      </c>
      <c r="C40" s="4">
        <v>6127</v>
      </c>
      <c r="D40" s="5" t="s">
        <v>62</v>
      </c>
      <c r="E40" s="5" t="s">
        <v>8</v>
      </c>
    </row>
    <row r="41" spans="1:5" x14ac:dyDescent="0.3">
      <c r="A41" s="5" t="s">
        <v>65</v>
      </c>
      <c r="B41" s="3" t="s">
        <v>6</v>
      </c>
      <c r="C41" s="4">
        <v>3299</v>
      </c>
      <c r="D41" s="5" t="s">
        <v>23</v>
      </c>
      <c r="E41" s="5" t="s">
        <v>11</v>
      </c>
    </row>
    <row r="42" spans="1:5" x14ac:dyDescent="0.3">
      <c r="A42" s="5" t="s">
        <v>66</v>
      </c>
      <c r="B42" s="3" t="s">
        <v>6</v>
      </c>
      <c r="C42" s="4">
        <v>15656</v>
      </c>
      <c r="D42" s="5" t="s">
        <v>29</v>
      </c>
      <c r="E42" s="5" t="s">
        <v>8</v>
      </c>
    </row>
    <row r="43" spans="1:5" x14ac:dyDescent="0.3">
      <c r="A43" s="5" t="s">
        <v>67</v>
      </c>
      <c r="B43" s="3" t="s">
        <v>6</v>
      </c>
      <c r="C43" s="4">
        <v>22437</v>
      </c>
      <c r="D43" s="5" t="s">
        <v>23</v>
      </c>
      <c r="E43" s="5" t="s">
        <v>24</v>
      </c>
    </row>
    <row r="44" spans="1:5" x14ac:dyDescent="0.3">
      <c r="A44" s="5" t="s">
        <v>68</v>
      </c>
      <c r="B44" s="3" t="s">
        <v>6</v>
      </c>
      <c r="C44" s="4">
        <v>1805</v>
      </c>
      <c r="D44" s="5" t="s">
        <v>19</v>
      </c>
      <c r="E44" s="5" t="s">
        <v>8</v>
      </c>
    </row>
    <row r="45" spans="1:5" x14ac:dyDescent="0.3">
      <c r="A45" s="5" t="s">
        <v>69</v>
      </c>
      <c r="B45" s="3" t="s">
        <v>6</v>
      </c>
      <c r="C45" s="4">
        <v>12896</v>
      </c>
      <c r="D45" s="5" t="s">
        <v>33</v>
      </c>
      <c r="E45" s="5" t="s">
        <v>11</v>
      </c>
    </row>
    <row r="46" spans="1:5" x14ac:dyDescent="0.3">
      <c r="A46" s="5" t="s">
        <v>70</v>
      </c>
      <c r="B46" s="3" t="s">
        <v>6</v>
      </c>
      <c r="C46" s="4">
        <v>12896</v>
      </c>
      <c r="D46" s="5" t="s">
        <v>23</v>
      </c>
      <c r="E46" s="5" t="s">
        <v>8</v>
      </c>
    </row>
    <row r="47" spans="1:5" x14ac:dyDescent="0.3">
      <c r="A47" s="5" t="s">
        <v>71</v>
      </c>
      <c r="B47" s="3" t="s">
        <v>6</v>
      </c>
      <c r="C47" s="4">
        <v>798</v>
      </c>
      <c r="D47" s="5" t="s">
        <v>7</v>
      </c>
      <c r="E47" s="5" t="s">
        <v>8</v>
      </c>
    </row>
    <row r="48" spans="1:5" x14ac:dyDescent="0.3">
      <c r="A48" s="5" t="s">
        <v>72</v>
      </c>
      <c r="B48" s="3" t="s">
        <v>15</v>
      </c>
      <c r="C48" s="4">
        <v>7666</v>
      </c>
      <c r="D48" s="5" t="s">
        <v>16</v>
      </c>
      <c r="E48" s="5" t="s">
        <v>8</v>
      </c>
    </row>
    <row r="49" spans="1:5" x14ac:dyDescent="0.3">
      <c r="A49" s="5" t="s">
        <v>73</v>
      </c>
      <c r="B49" s="3" t="s">
        <v>6</v>
      </c>
      <c r="C49" s="4">
        <v>59798</v>
      </c>
      <c r="D49" s="5" t="s">
        <v>10</v>
      </c>
      <c r="E49" s="5" t="s">
        <v>8</v>
      </c>
    </row>
    <row r="50" spans="1:5" x14ac:dyDescent="0.3">
      <c r="A50" s="5" t="s">
        <v>74</v>
      </c>
      <c r="B50" s="3" t="s">
        <v>6</v>
      </c>
      <c r="C50" s="4">
        <v>19157</v>
      </c>
      <c r="D50" s="5" t="s">
        <v>51</v>
      </c>
      <c r="E50" s="5" t="s">
        <v>11</v>
      </c>
    </row>
    <row r="51" spans="1:5" x14ac:dyDescent="0.3">
      <c r="A51" s="5" t="s">
        <v>75</v>
      </c>
      <c r="B51" s="3" t="s">
        <v>6</v>
      </c>
      <c r="C51" s="4">
        <v>25517</v>
      </c>
      <c r="D51" s="5" t="s">
        <v>51</v>
      </c>
      <c r="E51" s="5" t="s">
        <v>8</v>
      </c>
    </row>
    <row r="52" spans="1:5" x14ac:dyDescent="0.3">
      <c r="A52" s="5" t="s">
        <v>76</v>
      </c>
      <c r="B52" s="3" t="s">
        <v>6</v>
      </c>
      <c r="C52" s="4">
        <v>5091</v>
      </c>
      <c r="D52" s="5" t="s">
        <v>21</v>
      </c>
      <c r="E52" s="5" t="s">
        <v>11</v>
      </c>
    </row>
    <row r="53" spans="1:5" x14ac:dyDescent="0.3">
      <c r="A53" s="5" t="s">
        <v>77</v>
      </c>
      <c r="B53" s="3" t="s">
        <v>6</v>
      </c>
      <c r="C53" s="4">
        <v>27063</v>
      </c>
      <c r="D53" s="5" t="s">
        <v>29</v>
      </c>
      <c r="E53" s="5" t="s">
        <v>8</v>
      </c>
    </row>
    <row r="54" spans="1:5" x14ac:dyDescent="0.3">
      <c r="A54" s="5" t="s">
        <v>78</v>
      </c>
      <c r="B54" s="3" t="s">
        <v>6</v>
      </c>
      <c r="C54" s="4">
        <v>52259</v>
      </c>
      <c r="D54" s="5" t="s">
        <v>10</v>
      </c>
      <c r="E54" s="5" t="s">
        <v>8</v>
      </c>
    </row>
    <row r="55" spans="1:5" x14ac:dyDescent="0.3">
      <c r="A55" s="5" t="s">
        <v>79</v>
      </c>
      <c r="B55" s="3" t="s">
        <v>6</v>
      </c>
      <c r="C55" s="4">
        <v>87097</v>
      </c>
      <c r="D55" s="5" t="s">
        <v>10</v>
      </c>
      <c r="E55" s="5" t="s">
        <v>8</v>
      </c>
    </row>
    <row r="56" spans="1:5" x14ac:dyDescent="0.3">
      <c r="A56" s="5" t="s">
        <v>80</v>
      </c>
      <c r="B56" s="3" t="s">
        <v>6</v>
      </c>
      <c r="C56" s="4">
        <v>7189</v>
      </c>
      <c r="D56" s="5" t="s">
        <v>62</v>
      </c>
      <c r="E56" s="5" t="s">
        <v>8</v>
      </c>
    </row>
    <row r="57" spans="1:5" x14ac:dyDescent="0.3">
      <c r="A57" s="5" t="s">
        <v>81</v>
      </c>
      <c r="B57" s="3" t="s">
        <v>6</v>
      </c>
      <c r="C57" s="4">
        <v>8538</v>
      </c>
      <c r="D57" s="5" t="s">
        <v>21</v>
      </c>
      <c r="E57" s="5" t="s">
        <v>8</v>
      </c>
    </row>
    <row r="58" spans="1:5" x14ac:dyDescent="0.3">
      <c r="A58" s="5" t="s">
        <v>82</v>
      </c>
      <c r="B58" s="3" t="s">
        <v>6</v>
      </c>
      <c r="C58" s="4">
        <v>40285</v>
      </c>
      <c r="D58" s="5" t="s">
        <v>19</v>
      </c>
      <c r="E58" s="5" t="s">
        <v>11</v>
      </c>
    </row>
    <row r="59" spans="1:5" x14ac:dyDescent="0.3">
      <c r="A59" s="5" t="s">
        <v>83</v>
      </c>
      <c r="B59" s="3" t="s">
        <v>6</v>
      </c>
      <c r="C59" s="4">
        <v>15438</v>
      </c>
      <c r="D59" s="5" t="s">
        <v>33</v>
      </c>
      <c r="E59" s="5" t="s">
        <v>11</v>
      </c>
    </row>
    <row r="60" spans="1:5" x14ac:dyDescent="0.3">
      <c r="A60" s="5" t="s">
        <v>84</v>
      </c>
      <c r="B60" s="3" t="s">
        <v>6</v>
      </c>
      <c r="C60" s="4">
        <v>63544</v>
      </c>
      <c r="D60" s="5" t="s">
        <v>10</v>
      </c>
      <c r="E60" s="5" t="s">
        <v>11</v>
      </c>
    </row>
    <row r="61" spans="1:5" x14ac:dyDescent="0.3">
      <c r="A61" s="5" t="s">
        <v>85</v>
      </c>
      <c r="B61" s="3" t="s">
        <v>6</v>
      </c>
      <c r="C61" s="4">
        <v>2786</v>
      </c>
      <c r="D61" s="5" t="s">
        <v>47</v>
      </c>
      <c r="E61" s="5" t="s">
        <v>24</v>
      </c>
    </row>
  </sheetData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92303702-82AC-4B17-B3ED-57EB61D6700C}">
          <xm:f>Data!1:1048576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showGridLines="0" workbookViewId="0">
      <pane ySplit="2" topLeftCell="A3" activePane="bottomLeft" state="frozen"/>
      <selection pane="bottomLeft" activeCell="A29" sqref="A29"/>
    </sheetView>
  </sheetViews>
  <sheetFormatPr defaultRowHeight="15.6" x14ac:dyDescent="0.3"/>
  <cols>
    <col min="1" max="1" width="30" customWidth="1"/>
    <col min="2" max="2" width="22" customWidth="1"/>
    <col min="3" max="3" width="30" customWidth="1"/>
    <col min="4" max="4" width="12" customWidth="1"/>
    <col min="5" max="5" width="46" customWidth="1"/>
  </cols>
  <sheetData>
    <row r="1" spans="1:6" ht="18" x14ac:dyDescent="0.35">
      <c r="A1" s="26" t="s">
        <v>86</v>
      </c>
      <c r="B1" s="24"/>
      <c r="C1" s="24"/>
      <c r="D1" s="24"/>
      <c r="E1" s="24"/>
    </row>
    <row r="2" spans="1:6" x14ac:dyDescent="0.3">
      <c r="A2" s="23" t="s">
        <v>87</v>
      </c>
      <c r="B2" s="24"/>
      <c r="C2" s="24"/>
      <c r="D2" s="24"/>
      <c r="E2" s="24"/>
    </row>
    <row r="4" spans="1:6" ht="19.95" customHeight="1" x14ac:dyDescent="0.3">
      <c r="A4" s="25" t="s">
        <v>88</v>
      </c>
      <c r="B4" s="24"/>
      <c r="C4" s="24"/>
      <c r="D4" s="24"/>
      <c r="E4" s="24"/>
    </row>
    <row r="5" spans="1:6" x14ac:dyDescent="0.3">
      <c r="A5" s="8" t="s">
        <v>89</v>
      </c>
      <c r="B5" s="9">
        <f>COUNTA(Data!A2:A61)</f>
        <v>60</v>
      </c>
      <c r="C5" s="7" t="s">
        <v>90</v>
      </c>
    </row>
    <row r="6" spans="1:6" x14ac:dyDescent="0.3">
      <c r="A6" s="8" t="s">
        <v>91</v>
      </c>
      <c r="B6" s="9">
        <f>COUNTA(Data!B1:E1)</f>
        <v>4</v>
      </c>
      <c r="C6" s="7" t="s">
        <v>92</v>
      </c>
    </row>
    <row r="7" spans="1:6" x14ac:dyDescent="0.3">
      <c r="A7" s="8" t="s">
        <v>93</v>
      </c>
      <c r="B7" s="9">
        <f>B5</f>
        <v>60</v>
      </c>
      <c r="C7" s="7" t="s">
        <v>94</v>
      </c>
    </row>
    <row r="8" spans="1:6" x14ac:dyDescent="0.3">
      <c r="A8" s="8" t="s">
        <v>95</v>
      </c>
      <c r="B8" s="9">
        <f>B5*B6</f>
        <v>240</v>
      </c>
      <c r="C8" s="7" t="s">
        <v>96</v>
      </c>
    </row>
    <row r="10" spans="1:6" ht="19.95" customHeight="1" x14ac:dyDescent="0.3">
      <c r="A10" s="25" t="s">
        <v>97</v>
      </c>
      <c r="B10" s="24"/>
      <c r="C10" s="24"/>
      <c r="D10" s="24"/>
      <c r="E10" s="24"/>
    </row>
    <row r="11" spans="1:6" x14ac:dyDescent="0.3">
      <c r="A11" s="10" t="s">
        <v>98</v>
      </c>
      <c r="B11" s="10" t="s">
        <v>99</v>
      </c>
      <c r="C11" s="10" t="s">
        <v>100</v>
      </c>
      <c r="D11" s="10" t="s">
        <v>101</v>
      </c>
      <c r="E11" s="10" t="s">
        <v>102</v>
      </c>
    </row>
    <row r="12" spans="1:6" x14ac:dyDescent="0.3">
      <c r="A12" s="11" t="s">
        <v>1</v>
      </c>
      <c r="B12" s="12" t="s">
        <v>103</v>
      </c>
      <c r="C12" s="12" t="s">
        <v>104</v>
      </c>
      <c r="D12" s="13">
        <f>SUMPRODUCT((Data!B2:B61&lt;&gt;"")/COUNTIF(Data!B2:B61,Data!B2:B61&amp;""))</f>
        <v>2.0000000000000022</v>
      </c>
      <c r="E12" s="12" t="str">
        <f>"Member "&amp;COUNTIF(Data!B2:B61,"Member")&amp;"  ·  Observer "&amp;COUNTIF(Data!B2:B61,"Observer")</f>
        <v>Member 57  ·  Observer 3</v>
      </c>
      <c r="F12" s="7" t="s">
        <v>105</v>
      </c>
    </row>
    <row r="13" spans="1:6" x14ac:dyDescent="0.3">
      <c r="A13" s="11" t="s">
        <v>2</v>
      </c>
      <c r="B13" s="12" t="s">
        <v>106</v>
      </c>
      <c r="C13" s="12" t="s">
        <v>107</v>
      </c>
      <c r="D13" s="13">
        <f>SUMPRODUCT((Data!C2:C61&lt;&gt;"")/COUNTIF(Data!C2:C61,Data!C2:C61&amp;""))</f>
        <v>57</v>
      </c>
      <c r="E13" s="12" t="str">
        <f>"$"&amp;TEXT(MIN(Data!C2:C61),"#,##0")&amp;" to $"&amp;TEXT(MAX(Data!C2:C61),"#,##0")</f>
        <v>$798 to $87,097</v>
      </c>
    </row>
    <row r="14" spans="1:6" x14ac:dyDescent="0.3">
      <c r="A14" s="11" t="s">
        <v>3</v>
      </c>
      <c r="B14" s="12" t="s">
        <v>108</v>
      </c>
      <c r="C14" s="12" t="s">
        <v>104</v>
      </c>
      <c r="D14" s="13">
        <f>SUMPRODUCT((Data!D2:D61&lt;&gt;"")/COUNTIF(Data!D2:D61,Data!D2:D61&amp;""))</f>
        <v>15.999999999999993</v>
      </c>
      <c r="E14" s="12" t="str">
        <f>"B- to AAA  ·  AAA appears "&amp;COUNTIF(Data!D2:D61,"AAA")&amp;" times"</f>
        <v>B- to AAA  ·  AAA appears 7 times</v>
      </c>
    </row>
    <row r="15" spans="1:6" x14ac:dyDescent="0.3">
      <c r="A15" s="11" t="s">
        <v>4</v>
      </c>
      <c r="B15" s="12" t="s">
        <v>108</v>
      </c>
      <c r="C15" s="12" t="s">
        <v>104</v>
      </c>
      <c r="D15" s="13">
        <f>SUMPRODUCT((Data!E2:E61&lt;&gt;"")/COUNTIF(Data!E2:E61,Data!E2:E61&amp;""))</f>
        <v>2.9999999999999969</v>
      </c>
      <c r="E15" s="12" t="str">
        <f>"Stable "&amp;COUNTIF(Data!E2:E61,"Stable")&amp;"  ·  Negative "&amp;COUNTIF(Data!E2:E61,"Negative")&amp;"  ·  Positive "&amp;COUNTIF(Data!E2:E61,"Positive")</f>
        <v>Stable 39  ·  Negative 18  ·  Positive 3</v>
      </c>
    </row>
    <row r="18" spans="1:5" ht="19.95" customHeight="1" x14ac:dyDescent="0.3">
      <c r="A18" s="25" t="s">
        <v>109</v>
      </c>
      <c r="B18" s="24"/>
      <c r="C18" s="24"/>
      <c r="D18" s="24"/>
      <c r="E18" s="24"/>
    </row>
    <row r="19" spans="1:5" x14ac:dyDescent="0.3">
      <c r="A19" s="8" t="s">
        <v>110</v>
      </c>
      <c r="B19" s="9">
        <f>COUNT(Data!C2:C61)</f>
        <v>60</v>
      </c>
      <c r="C19" s="7" t="s">
        <v>111</v>
      </c>
    </row>
    <row r="20" spans="1:5" x14ac:dyDescent="0.3">
      <c r="A20" s="8" t="s">
        <v>112</v>
      </c>
      <c r="B20" s="14">
        <f>MIN(Data!C2:C61)</f>
        <v>798</v>
      </c>
      <c r="C20" s="7" t="str">
        <f>INDEX(Data!A2:A61,MATCH(MIN(Data!C2:C61),Data!C2:C61,0))</f>
        <v>Rwanda</v>
      </c>
    </row>
    <row r="21" spans="1:5" x14ac:dyDescent="0.3">
      <c r="A21" s="8" t="s">
        <v>113</v>
      </c>
      <c r="B21" s="14">
        <f>MAX(Data!C2:C61)</f>
        <v>87097</v>
      </c>
      <c r="C21" s="7" t="str">
        <f>INDEX(Data!A2:A61,MATCH(MAX(Data!C2:C61),Data!C2:C61,0))</f>
        <v>Switzerland</v>
      </c>
    </row>
    <row r="22" spans="1:5" x14ac:dyDescent="0.3">
      <c r="A22" s="8" t="s">
        <v>114</v>
      </c>
      <c r="B22" s="14">
        <f>AVERAGE(Data!C2:C61)</f>
        <v>23704.45</v>
      </c>
      <c r="C22" s="7"/>
    </row>
    <row r="23" spans="1:5" x14ac:dyDescent="0.3">
      <c r="A23" s="8" t="s">
        <v>115</v>
      </c>
      <c r="B23" s="14">
        <f>MEDIAN(Data!C2:C61)</f>
        <v>15547</v>
      </c>
      <c r="C23" s="7"/>
    </row>
    <row r="24" spans="1:5" x14ac:dyDescent="0.3">
      <c r="A24" s="8" t="s">
        <v>116</v>
      </c>
      <c r="B24" s="15">
        <f>B22/B23</f>
        <v>1.5246960828455651</v>
      </c>
      <c r="C24" s="7" t="s">
        <v>117</v>
      </c>
    </row>
    <row r="25" spans="1:5" x14ac:dyDescent="0.3">
      <c r="A25" s="8" t="s">
        <v>118</v>
      </c>
      <c r="B25" s="9">
        <f>COUNTIF(Data!C2:C61,"&gt;"&amp;B22)</f>
        <v>22</v>
      </c>
      <c r="C25" s="7" t="s">
        <v>119</v>
      </c>
    </row>
    <row r="26" spans="1:5" x14ac:dyDescent="0.3">
      <c r="A26" s="8" t="s">
        <v>120</v>
      </c>
      <c r="B26" s="14" t="e">
        <f ca="1">_xludf.STDEV.S(Data!C2:C61)</f>
        <v>#NAME?</v>
      </c>
      <c r="C26" s="7" t="s">
        <v>121</v>
      </c>
    </row>
    <row r="28" spans="1:5" ht="19.95" customHeight="1" x14ac:dyDescent="0.3">
      <c r="A28" s="25" t="s">
        <v>122</v>
      </c>
      <c r="B28" s="24"/>
      <c r="C28" s="24"/>
      <c r="D28" s="24"/>
      <c r="E28" s="24"/>
    </row>
    <row r="29" spans="1:5" x14ac:dyDescent="0.3">
      <c r="A29" s="8" t="s">
        <v>123</v>
      </c>
      <c r="B29" s="16">
        <f>AVERAGE(Data!C2:C61)</f>
        <v>23704.45</v>
      </c>
      <c r="C29" s="7"/>
    </row>
    <row r="30" spans="1:5" x14ac:dyDescent="0.3">
      <c r="A30" s="8" t="s">
        <v>124</v>
      </c>
      <c r="B30" s="17" t="e">
        <f>AVERAGE(Data!D2:D61)</f>
        <v>#DIV/0!</v>
      </c>
      <c r="C30" s="7" t="s">
        <v>125</v>
      </c>
    </row>
    <row r="31" spans="1:5" x14ac:dyDescent="0.3">
      <c r="A31" s="18" t="s">
        <v>126</v>
      </c>
      <c r="B31" s="19"/>
      <c r="C31" s="7" t="s">
        <v>127</v>
      </c>
    </row>
    <row r="33" spans="1:5" ht="19.95" customHeight="1" x14ac:dyDescent="0.3">
      <c r="A33" s="25" t="s">
        <v>128</v>
      </c>
      <c r="B33" s="24"/>
      <c r="C33" s="24"/>
      <c r="D33" s="24"/>
      <c r="E33" s="24"/>
    </row>
    <row r="34" spans="1:5" x14ac:dyDescent="0.3">
      <c r="A34" s="20" t="s">
        <v>129</v>
      </c>
      <c r="B34" s="20" t="s">
        <v>0</v>
      </c>
      <c r="C34" s="20" t="s">
        <v>130</v>
      </c>
      <c r="D34" s="20" t="s">
        <v>131</v>
      </c>
    </row>
    <row r="35" spans="1:5" ht="30" customHeight="1" x14ac:dyDescent="0.3">
      <c r="A35" s="13">
        <f>MATCH("CoStable Rica",Data!A1:A61,0)</f>
        <v>15</v>
      </c>
      <c r="B35" s="11" t="s">
        <v>34</v>
      </c>
      <c r="C35" s="21" t="s">
        <v>132</v>
      </c>
      <c r="D35" s="22" t="s">
        <v>133</v>
      </c>
    </row>
    <row r="36" spans="1:5" ht="30" customHeight="1" x14ac:dyDescent="0.3">
      <c r="A36" s="13">
        <f>MATCH("South Korea",Data!A1:A61,0)</f>
        <v>44</v>
      </c>
      <c r="B36" s="11" t="s">
        <v>68</v>
      </c>
      <c r="C36" s="21" t="s">
        <v>134</v>
      </c>
      <c r="D36" s="22" t="s">
        <v>135</v>
      </c>
    </row>
    <row r="37" spans="1:5" ht="30" customHeight="1" x14ac:dyDescent="0.3">
      <c r="A37" s="13">
        <f>MATCH("Cape Verde",Data!A1:A61,0)</f>
        <v>11</v>
      </c>
      <c r="B37" s="11" t="s">
        <v>26</v>
      </c>
      <c r="C37" s="21" t="s">
        <v>136</v>
      </c>
      <c r="D37" s="22" t="s">
        <v>137</v>
      </c>
    </row>
    <row r="39" spans="1:5" x14ac:dyDescent="0.3">
      <c r="A39" s="23" t="s">
        <v>138</v>
      </c>
      <c r="B39" s="24"/>
      <c r="C39" s="24"/>
      <c r="D39" s="24"/>
      <c r="E39" s="24"/>
    </row>
  </sheetData>
  <mergeCells count="8">
    <mergeCell ref="A1:E1"/>
    <mergeCell ref="A18:E18"/>
    <mergeCell ref="A39:E39"/>
    <mergeCell ref="A4:E4"/>
    <mergeCell ref="A2:E2"/>
    <mergeCell ref="A10:E10"/>
    <mergeCell ref="A28:E28"/>
    <mergeCell ref="A33:E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Swift, Xuying</cp:lastModifiedBy>
  <dcterms:created xsi:type="dcterms:W3CDTF">2012-04-27T22:19:54Z</dcterms:created>
  <dcterms:modified xsi:type="dcterms:W3CDTF">2026-09-01T16:24:42Z</dcterms:modified>
</cp:coreProperties>
</file>