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C:\Users\jcochran\Dropbox\ASW Files\MBS\MBS 8e\_First Drafts\Chapter 8 Interval Estimation - Cochran\DATAfiles\"/>
    </mc:Choice>
  </mc:AlternateContent>
  <xr:revisionPtr revIDLastSave="0" documentId="13_ncr:1_{27CA2E0D-356E-475A-8E8A-12DC0C4477EC}" xr6:coauthVersionLast="47" xr6:coauthVersionMax="47" xr10:uidLastSave="{00000000-0000-0000-0000-000000000000}"/>
  <bookViews>
    <workbookView xWindow="-110" yWindow="-110" windowWidth="19420" windowHeight="10420" xr2:uid="{00000000-000D-0000-FFFF-FFFF00000000}"/>
  </bookViews>
  <sheets>
    <sheet name="Data" sheetId="1" r:id="rId1"/>
    <sheet name="_STDS_DG2D4C8142" sheetId="4" state="hidden" r:id="rId2"/>
    <sheet name="Confidence Interval" sheetId="5" r:id="rId3"/>
  </sheets>
  <definedNames>
    <definedName name="ST_NewBalance">Data!$A$2:$A$71</definedName>
    <definedName name="StatToolsHeader" localSheetId="2">'Confidence Interval'!$1:$5</definedName>
    <definedName name="STWBD_StatToolsConfidenceInterval_AnalysisType" hidden="1">" 0"</definedName>
    <definedName name="STWBD_StatToolsConfidenceInterval_CalculateMeanInterval" hidden="1">"TRUE"</definedName>
    <definedName name="STWBD_StatToolsConfidenceInterval_CalculateStdDevInterval" hidden="1">"FALSE"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"U_x0001_VGDDC8E6F_x0001_"</definedName>
    <definedName name="STWBD_StatToolsConfidenceInterval_VarSelectorDefaultDataSet" hidden="1">"DG2D4C8142"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B13" i="4"/>
  <c r="B7" i="4"/>
  <c r="B10" i="5"/>
  <c r="B9" i="5"/>
  <c r="B11" i="5"/>
  <c r="B13" i="5" l="1"/>
  <c r="B15" i="5"/>
  <c r="B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A. Williams</author>
  </authors>
  <commentList>
    <comment ref="A8" authorId="0" shapeId="0" xr:uid="{00000000-0006-0000-0400-000001000000}">
      <text>
        <r>
          <rPr>
            <b/>
            <u/>
            <sz val="8"/>
            <color indexed="8"/>
            <rFont val="Tahoma"/>
            <family val="2"/>
          </rPr>
          <t>StatTools Note:</t>
        </r>
        <r>
          <rPr>
            <sz val="8"/>
            <color indexed="8"/>
            <rFont val="Tahoma"/>
            <family val="2"/>
          </rPr>
          <t xml:space="preserve">
These results are based on the assumption that the variable(s) are approximately normally distributed.  If this is not the case, then these results might not be valid, especially if the sample size is small.</t>
        </r>
      </text>
    </comment>
  </commentList>
</comments>
</file>

<file path=xl/sharedStrings.xml><?xml version="1.0" encoding="utf-8"?>
<sst xmlns="http://schemas.openxmlformats.org/spreadsheetml/2006/main" count="40" uniqueCount="38">
  <si>
    <t>NewBalance</t>
  </si>
  <si>
    <t>Name</t>
  </si>
  <si>
    <t>Data Set #1</t>
  </si>
  <si>
    <t>GUID</t>
  </si>
  <si>
    <t>DG2D4C8142</t>
  </si>
  <si>
    <t>Format Range</t>
  </si>
  <si>
    <t>Variable Layout</t>
  </si>
  <si>
    <t>Columns</t>
  </si>
  <si>
    <t>Variable Names In Cells</t>
  </si>
  <si>
    <t>Variable Names In 2nd Cells</t>
  </si>
  <si>
    <t>Data Set Ranges</t>
  </si>
  <si>
    <t>Data Sheet Format</t>
  </si>
  <si>
    <t>Formula Eval Cell</t>
  </si>
  <si>
    <t>Num Stored Vars</t>
  </si>
  <si>
    <t>1 : Info</t>
  </si>
  <si>
    <t>VGDDC8E6F</t>
  </si>
  <si>
    <t>var1</t>
  </si>
  <si>
    <t>ST_NewBalance</t>
  </si>
  <si>
    <t>1 : Ranges</t>
  </si>
  <si>
    <t>1 : MultiRefs</t>
  </si>
  <si>
    <t>StatTools</t>
  </si>
  <si>
    <t>(Core Analysis Pack)</t>
  </si>
  <si>
    <t>Analysis:</t>
  </si>
  <si>
    <t>Confidence Interval</t>
  </si>
  <si>
    <t>Performed By:</t>
  </si>
  <si>
    <t>Thomas A. Williams</t>
  </si>
  <si>
    <t>Date:</t>
  </si>
  <si>
    <t>Friday, January 12, 2007</t>
  </si>
  <si>
    <t>Updating:</t>
  </si>
  <si>
    <t>Live</t>
  </si>
  <si>
    <t>Conf. Intervals (One-Sample)</t>
  </si>
  <si>
    <t>Sample Size</t>
  </si>
  <si>
    <t>Sample Mean</t>
  </si>
  <si>
    <t>Sample Std Dev</t>
  </si>
  <si>
    <t>Confidence Level (Mean)</t>
  </si>
  <si>
    <t>Degrees of Freedom</t>
  </si>
  <si>
    <t>Lower Limit</t>
  </si>
  <si>
    <t>Upper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</si>
</sst>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name val="Times New Roman"/>
    </font>
    <font>
      <b/>
      <sz val="12"/>
      <name val="Times New Roman"/>
      <family val="1"/>
    </font>
    <font>
      <sz val="8"/>
      <name val="Times New Roman"/>
    </font>
    <font>
      <sz val="8"/>
      <color indexed="8"/>
      <name val="Tahoma"/>
      <family val="2"/>
    </font>
    <font>
      <b/>
      <u/>
      <sz val="8"/>
      <color indexed="8"/>
      <name val="Tahoma"/>
      <family val="2"/>
    </font>
    <font>
      <b/>
      <sz val="11"/>
      <name val="Calibri"/>
      <family val="2"/>
      <scheme val="minor"/>
    </font>
    <font>
      <sz val="11"/>
      <name val="Calibri"/>
      <family val="2"/>
      <scheme val="minor"/>
    </font>
    <font>
      <b/>
      <i/>
      <sz val="11"/>
      <name val="Calibri"/>
      <family val="2"/>
      <scheme val="minor"/>
    </font>
  </fonts>
  <fills count="3">
    <fill>
      <patternFill patternType="none"/>
    </fill>
    <fill>
      <patternFill patternType="gray125"/>
    </fill>
    <fill>
      <patternFill patternType="solid">
        <fgColor indexed="22"/>
        <bgColor indexed="64"/>
      </patternFill>
    </fill>
  </fills>
  <borders count="4">
    <border>
      <left/>
      <right/>
      <top/>
      <bottom/>
      <diagonal/>
    </border>
    <border>
      <left/>
      <right/>
      <top/>
      <bottom style="thin">
        <color indexed="64"/>
      </bottom>
      <diagonal/>
    </border>
    <border>
      <left/>
      <right/>
      <top/>
      <bottom style="double">
        <color indexed="64"/>
      </bottom>
      <diagonal/>
    </border>
    <border>
      <left/>
      <right/>
      <top/>
      <bottom style="hair">
        <color indexed="64"/>
      </bottom>
      <diagonal/>
    </border>
  </borders>
  <cellStyleXfs count="1">
    <xf numFmtId="0" fontId="0" fillId="0" borderId="0"/>
  </cellStyleXfs>
  <cellXfs count="21">
    <xf numFmtId="0" fontId="0" fillId="0" borderId="0" xfId="0"/>
    <xf numFmtId="0" fontId="0" fillId="0" borderId="0" xfId="0" applyAlignment="1">
      <alignment horizontal="left"/>
    </xf>
    <xf numFmtId="0" fontId="1" fillId="0" borderId="0" xfId="0" applyFont="1" applyAlignment="1">
      <alignment horizontal="left"/>
    </xf>
    <xf numFmtId="0" fontId="5" fillId="0" borderId="0" xfId="0" applyFont="1" applyAlignment="1">
      <alignment horizontal="center"/>
    </xf>
    <xf numFmtId="0" fontId="6" fillId="0" borderId="0" xfId="0" applyFont="1"/>
    <xf numFmtId="0" fontId="5" fillId="2" borderId="0" xfId="0" applyFont="1" applyFill="1" applyAlignment="1">
      <alignment horizontal="right"/>
    </xf>
    <xf numFmtId="0" fontId="6" fillId="2" borderId="0" xfId="0" applyFont="1" applyFill="1" applyAlignment="1">
      <alignment horizontal="left"/>
    </xf>
    <xf numFmtId="0" fontId="6" fillId="2" borderId="0" xfId="0" applyFont="1" applyFill="1"/>
    <xf numFmtId="0" fontId="5" fillId="2" borderId="1" xfId="0" applyFont="1" applyFill="1" applyBorder="1" applyAlignment="1">
      <alignment horizontal="right"/>
    </xf>
    <xf numFmtId="0" fontId="6" fillId="2" borderId="1" xfId="0" applyFont="1" applyFill="1" applyBorder="1" applyAlignment="1">
      <alignment horizontal="left"/>
    </xf>
    <xf numFmtId="0" fontId="6" fillId="2" borderId="1" xfId="0" applyFont="1" applyFill="1" applyBorder="1"/>
    <xf numFmtId="49" fontId="7" fillId="0" borderId="0" xfId="0" applyNumberFormat="1" applyFont="1" applyAlignment="1">
      <alignment horizontal="left"/>
    </xf>
    <xf numFmtId="49" fontId="5" fillId="0" borderId="0" xfId="0" applyNumberFormat="1" applyFont="1" applyAlignment="1">
      <alignment horizontal="center"/>
    </xf>
    <xf numFmtId="49" fontId="7" fillId="0" borderId="2" xfId="0" applyNumberFormat="1" applyFont="1" applyBorder="1" applyAlignment="1">
      <alignment horizontal="left"/>
    </xf>
    <xf numFmtId="49" fontId="5" fillId="0" borderId="2" xfId="0" applyNumberFormat="1" applyFont="1" applyBorder="1" applyAlignment="1">
      <alignment horizontal="center"/>
    </xf>
    <xf numFmtId="49" fontId="5" fillId="0" borderId="0" xfId="0" applyNumberFormat="1" applyFont="1" applyAlignment="1">
      <alignment horizontal="left"/>
    </xf>
    <xf numFmtId="0" fontId="6" fillId="0" borderId="0" xfId="0" applyFont="1" applyAlignment="1">
      <alignment horizontal="center"/>
    </xf>
    <xf numFmtId="2" fontId="6" fillId="0" borderId="0" xfId="0" applyNumberFormat="1" applyFont="1" applyAlignment="1">
      <alignment horizontal="center"/>
    </xf>
    <xf numFmtId="49" fontId="5" fillId="0" borderId="3" xfId="0" applyNumberFormat="1" applyFont="1" applyBorder="1" applyAlignment="1">
      <alignment horizontal="left"/>
    </xf>
    <xf numFmtId="2" fontId="6" fillId="0" borderId="3" xfId="0" applyNumberFormat="1" applyFont="1" applyBorder="1" applyAlignment="1">
      <alignment horizontal="center"/>
    </xf>
    <xf numFmtId="164" fontId="6"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1"/>
  <sheetViews>
    <sheetView tabSelected="1" workbookViewId="0"/>
  </sheetViews>
  <sheetFormatPr defaultRowHeight="14.5" x14ac:dyDescent="0.35"/>
  <cols>
    <col min="1" max="1" width="11.33203125" style="4" bestFit="1" customWidth="1"/>
    <col min="2" max="16384" width="8.6640625" style="4"/>
  </cols>
  <sheetData>
    <row r="1" spans="1:1" x14ac:dyDescent="0.35">
      <c r="A1" s="3" t="s">
        <v>0</v>
      </c>
    </row>
    <row r="2" spans="1:1" x14ac:dyDescent="0.35">
      <c r="A2" s="4">
        <v>9430</v>
      </c>
    </row>
    <row r="3" spans="1:1" x14ac:dyDescent="0.35">
      <c r="A3" s="4">
        <v>7535</v>
      </c>
    </row>
    <row r="4" spans="1:1" x14ac:dyDescent="0.35">
      <c r="A4" s="4">
        <v>4078</v>
      </c>
    </row>
    <row r="5" spans="1:1" x14ac:dyDescent="0.35">
      <c r="A5" s="4">
        <v>5604</v>
      </c>
    </row>
    <row r="6" spans="1:1" x14ac:dyDescent="0.35">
      <c r="A6" s="4">
        <v>5179</v>
      </c>
    </row>
    <row r="7" spans="1:1" x14ac:dyDescent="0.35">
      <c r="A7" s="4">
        <v>4416</v>
      </c>
    </row>
    <row r="8" spans="1:1" x14ac:dyDescent="0.35">
      <c r="A8" s="4">
        <v>10676</v>
      </c>
    </row>
    <row r="9" spans="1:1" x14ac:dyDescent="0.35">
      <c r="A9" s="4">
        <v>1627</v>
      </c>
    </row>
    <row r="10" spans="1:1" x14ac:dyDescent="0.35">
      <c r="A10" s="4">
        <v>10112</v>
      </c>
    </row>
    <row r="11" spans="1:1" x14ac:dyDescent="0.35">
      <c r="A11" s="4">
        <v>6567</v>
      </c>
    </row>
    <row r="12" spans="1:1" x14ac:dyDescent="0.35">
      <c r="A12" s="4">
        <v>13627</v>
      </c>
    </row>
    <row r="13" spans="1:1" x14ac:dyDescent="0.35">
      <c r="A13" s="4">
        <v>18719</v>
      </c>
    </row>
    <row r="14" spans="1:1" x14ac:dyDescent="0.35">
      <c r="A14" s="4">
        <v>14661</v>
      </c>
    </row>
    <row r="15" spans="1:1" x14ac:dyDescent="0.35">
      <c r="A15" s="4">
        <v>12195</v>
      </c>
    </row>
    <row r="16" spans="1:1" x14ac:dyDescent="0.35">
      <c r="A16" s="4">
        <v>10544</v>
      </c>
    </row>
    <row r="17" spans="1:1" x14ac:dyDescent="0.35">
      <c r="A17" s="4">
        <v>13659</v>
      </c>
    </row>
    <row r="18" spans="1:1" x14ac:dyDescent="0.35">
      <c r="A18" s="4">
        <v>7061</v>
      </c>
    </row>
    <row r="19" spans="1:1" x14ac:dyDescent="0.35">
      <c r="A19" s="4">
        <v>6245</v>
      </c>
    </row>
    <row r="20" spans="1:1" x14ac:dyDescent="0.35">
      <c r="A20" s="4">
        <v>13021</v>
      </c>
    </row>
    <row r="21" spans="1:1" x14ac:dyDescent="0.35">
      <c r="A21" s="4">
        <v>9719</v>
      </c>
    </row>
    <row r="22" spans="1:1" x14ac:dyDescent="0.35">
      <c r="A22" s="4">
        <v>2200</v>
      </c>
    </row>
    <row r="23" spans="1:1" x14ac:dyDescent="0.35">
      <c r="A23" s="4">
        <v>10746</v>
      </c>
    </row>
    <row r="24" spans="1:1" x14ac:dyDescent="0.35">
      <c r="A24" s="4">
        <v>12744</v>
      </c>
    </row>
    <row r="25" spans="1:1" x14ac:dyDescent="0.35">
      <c r="A25" s="4">
        <v>5742</v>
      </c>
    </row>
    <row r="26" spans="1:1" x14ac:dyDescent="0.35">
      <c r="A26" s="4">
        <v>7159</v>
      </c>
    </row>
    <row r="27" spans="1:1" x14ac:dyDescent="0.35">
      <c r="A27" s="4">
        <v>8137</v>
      </c>
    </row>
    <row r="28" spans="1:1" x14ac:dyDescent="0.35">
      <c r="A28" s="4">
        <v>9467</v>
      </c>
    </row>
    <row r="29" spans="1:1" x14ac:dyDescent="0.35">
      <c r="A29" s="4">
        <v>12595</v>
      </c>
    </row>
    <row r="30" spans="1:1" x14ac:dyDescent="0.35">
      <c r="A30" s="4">
        <v>7917</v>
      </c>
    </row>
    <row r="31" spans="1:1" x14ac:dyDescent="0.35">
      <c r="A31" s="4">
        <v>11346</v>
      </c>
    </row>
    <row r="32" spans="1:1" x14ac:dyDescent="0.35">
      <c r="A32" s="4">
        <v>12806</v>
      </c>
    </row>
    <row r="33" spans="1:1" x14ac:dyDescent="0.35">
      <c r="A33" s="4">
        <v>4972</v>
      </c>
    </row>
    <row r="34" spans="1:1" x14ac:dyDescent="0.35">
      <c r="A34" s="4">
        <v>11356</v>
      </c>
    </row>
    <row r="35" spans="1:1" x14ac:dyDescent="0.35">
      <c r="A35" s="4">
        <v>7117</v>
      </c>
    </row>
    <row r="36" spans="1:1" x14ac:dyDescent="0.35">
      <c r="A36" s="4">
        <v>9465</v>
      </c>
    </row>
    <row r="37" spans="1:1" x14ac:dyDescent="0.35">
      <c r="A37" s="4">
        <v>19263</v>
      </c>
    </row>
    <row r="38" spans="1:1" x14ac:dyDescent="0.35">
      <c r="A38" s="4">
        <v>9071</v>
      </c>
    </row>
    <row r="39" spans="1:1" x14ac:dyDescent="0.35">
      <c r="A39" s="4">
        <v>3603</v>
      </c>
    </row>
    <row r="40" spans="1:1" x14ac:dyDescent="0.35">
      <c r="A40" s="4">
        <v>16804</v>
      </c>
    </row>
    <row r="41" spans="1:1" x14ac:dyDescent="0.35">
      <c r="A41" s="4">
        <v>13479</v>
      </c>
    </row>
    <row r="42" spans="1:1" x14ac:dyDescent="0.35">
      <c r="A42" s="4">
        <v>14044</v>
      </c>
    </row>
    <row r="43" spans="1:1" x14ac:dyDescent="0.35">
      <c r="A43" s="4">
        <v>6817</v>
      </c>
    </row>
    <row r="44" spans="1:1" x14ac:dyDescent="0.35">
      <c r="A44" s="4">
        <v>6845</v>
      </c>
    </row>
    <row r="45" spans="1:1" x14ac:dyDescent="0.35">
      <c r="A45" s="4">
        <v>10493</v>
      </c>
    </row>
    <row r="46" spans="1:1" x14ac:dyDescent="0.35">
      <c r="A46" s="4">
        <v>615</v>
      </c>
    </row>
    <row r="47" spans="1:1" x14ac:dyDescent="0.35">
      <c r="A47" s="4">
        <v>13627</v>
      </c>
    </row>
    <row r="48" spans="1:1" x14ac:dyDescent="0.35">
      <c r="A48" s="4">
        <v>12557</v>
      </c>
    </row>
    <row r="49" spans="1:1" x14ac:dyDescent="0.35">
      <c r="A49" s="4">
        <v>6232</v>
      </c>
    </row>
    <row r="50" spans="1:1" x14ac:dyDescent="0.35">
      <c r="A50" s="4">
        <v>9691</v>
      </c>
    </row>
    <row r="51" spans="1:1" x14ac:dyDescent="0.35">
      <c r="A51" s="4">
        <v>11448</v>
      </c>
    </row>
    <row r="52" spans="1:1" x14ac:dyDescent="0.35">
      <c r="A52" s="4">
        <v>8279</v>
      </c>
    </row>
    <row r="53" spans="1:1" x14ac:dyDescent="0.35">
      <c r="A53" s="4">
        <v>5649</v>
      </c>
    </row>
    <row r="54" spans="1:1" x14ac:dyDescent="0.35">
      <c r="A54" s="4">
        <v>11298</v>
      </c>
    </row>
    <row r="55" spans="1:1" x14ac:dyDescent="0.35">
      <c r="A55" s="4">
        <v>4353</v>
      </c>
    </row>
    <row r="56" spans="1:1" x14ac:dyDescent="0.35">
      <c r="A56" s="4">
        <v>3467</v>
      </c>
    </row>
    <row r="57" spans="1:1" x14ac:dyDescent="0.35">
      <c r="A57" s="4">
        <v>6191</v>
      </c>
    </row>
    <row r="58" spans="1:1" x14ac:dyDescent="0.35">
      <c r="A58" s="4">
        <v>12851</v>
      </c>
    </row>
    <row r="59" spans="1:1" x14ac:dyDescent="0.35">
      <c r="A59" s="4">
        <v>5337</v>
      </c>
    </row>
    <row r="60" spans="1:1" x14ac:dyDescent="0.35">
      <c r="A60" s="4">
        <v>8372</v>
      </c>
    </row>
    <row r="61" spans="1:1" x14ac:dyDescent="0.35">
      <c r="A61" s="4">
        <v>7445</v>
      </c>
    </row>
    <row r="62" spans="1:1" x14ac:dyDescent="0.35">
      <c r="A62" s="4">
        <v>11032</v>
      </c>
    </row>
    <row r="63" spans="1:1" x14ac:dyDescent="0.35">
      <c r="A63" s="4">
        <v>6525</v>
      </c>
    </row>
    <row r="64" spans="1:1" x14ac:dyDescent="0.35">
      <c r="A64" s="4">
        <v>5239</v>
      </c>
    </row>
    <row r="65" spans="1:1" x14ac:dyDescent="0.35">
      <c r="A65" s="4">
        <v>6195</v>
      </c>
    </row>
    <row r="66" spans="1:1" x14ac:dyDescent="0.35">
      <c r="A66" s="4">
        <v>12584</v>
      </c>
    </row>
    <row r="67" spans="1:1" x14ac:dyDescent="0.35">
      <c r="A67" s="4">
        <v>15415</v>
      </c>
    </row>
    <row r="68" spans="1:1" x14ac:dyDescent="0.35">
      <c r="A68" s="4">
        <v>15917</v>
      </c>
    </row>
    <row r="69" spans="1:1" x14ac:dyDescent="0.35">
      <c r="A69" s="4">
        <v>12591</v>
      </c>
    </row>
    <row r="70" spans="1:1" x14ac:dyDescent="0.35">
      <c r="A70" s="4">
        <v>9743</v>
      </c>
    </row>
    <row r="71" spans="1:1" x14ac:dyDescent="0.35">
      <c r="A71" s="4">
        <v>10324</v>
      </c>
    </row>
  </sheetData>
  <phoneticPr fontId="2" type="noConversion"/>
  <pageMargins left="0.75" right="0.75" top="1" bottom="1" header="0.5" footer="0.5"/>
  <pageSetup orientation="portrait" horizontalDpi="4294967292"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sheetViews>
  <sheetFormatPr defaultColWidth="30.75" defaultRowHeight="15.5" x14ac:dyDescent="0.35"/>
  <cols>
    <col min="1" max="1" width="30.75" style="2" customWidth="1"/>
    <col min="2" max="16384" width="30.75" style="1"/>
  </cols>
  <sheetData>
    <row r="1" spans="1:7" x14ac:dyDescent="0.35">
      <c r="A1" s="2" t="s">
        <v>1</v>
      </c>
      <c r="B1" s="1" t="s">
        <v>2</v>
      </c>
    </row>
    <row r="2" spans="1:7" x14ac:dyDescent="0.35">
      <c r="A2" s="2" t="s">
        <v>3</v>
      </c>
      <c r="B2" s="1" t="s">
        <v>4</v>
      </c>
    </row>
    <row r="3" spans="1:7" x14ac:dyDescent="0.35">
      <c r="A3" s="2" t="s">
        <v>5</v>
      </c>
      <c r="B3" s="1" t="b">
        <v>0</v>
      </c>
    </row>
    <row r="4" spans="1:7" x14ac:dyDescent="0.35">
      <c r="A4" s="2" t="s">
        <v>6</v>
      </c>
      <c r="B4" s="1" t="s">
        <v>7</v>
      </c>
    </row>
    <row r="5" spans="1:7" x14ac:dyDescent="0.35">
      <c r="A5" s="2" t="s">
        <v>8</v>
      </c>
      <c r="B5" s="1" t="b">
        <v>1</v>
      </c>
    </row>
    <row r="6" spans="1:7" x14ac:dyDescent="0.35">
      <c r="A6" s="2" t="s">
        <v>9</v>
      </c>
      <c r="B6" s="1" t="b">
        <v>1</v>
      </c>
    </row>
    <row r="7" spans="1:7" x14ac:dyDescent="0.35">
      <c r="A7" s="2" t="s">
        <v>10</v>
      </c>
      <c r="B7" s="1">
        <f>Data!$A$1:$A$71</f>
        <v>4416</v>
      </c>
    </row>
    <row r="8" spans="1:7" x14ac:dyDescent="0.35">
      <c r="A8" s="2" t="s">
        <v>11</v>
      </c>
      <c r="B8" s="1">
        <v>1</v>
      </c>
    </row>
    <row r="9" spans="1:7" x14ac:dyDescent="0.35">
      <c r="A9" s="2" t="s">
        <v>12</v>
      </c>
      <c r="B9" s="1">
        <f>1</f>
        <v>1</v>
      </c>
    </row>
    <row r="10" spans="1:7" x14ac:dyDescent="0.35">
      <c r="A10" s="2" t="s">
        <v>13</v>
      </c>
      <c r="B10" s="1">
        <v>1</v>
      </c>
    </row>
    <row r="12" spans="1:7" x14ac:dyDescent="0.35">
      <c r="A12" s="2" t="s">
        <v>14</v>
      </c>
      <c r="B12" s="1" t="s">
        <v>15</v>
      </c>
      <c r="C12" s="1" t="s">
        <v>16</v>
      </c>
      <c r="D12" s="1" t="s">
        <v>17</v>
      </c>
      <c r="E12" s="1" t="b">
        <v>1</v>
      </c>
      <c r="F12" s="1">
        <v>0</v>
      </c>
      <c r="G12" s="1">
        <v>4</v>
      </c>
    </row>
    <row r="13" spans="1:7" x14ac:dyDescent="0.35">
      <c r="A13" s="2" t="s">
        <v>18</v>
      </c>
      <c r="B13" s="1">
        <f>Data!$A$1:$A$71</f>
        <v>18719</v>
      </c>
    </row>
    <row r="14" spans="1:7" x14ac:dyDescent="0.35">
      <c r="A14" s="2" t="s">
        <v>19</v>
      </c>
    </row>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showGridLines="0" workbookViewId="0"/>
  </sheetViews>
  <sheetFormatPr defaultColWidth="12.75" defaultRowHeight="14.5" x14ac:dyDescent="0.35"/>
  <cols>
    <col min="1" max="1" width="23.83203125" style="4" bestFit="1" customWidth="1"/>
    <col min="2" max="16384" width="12.75" style="4"/>
  </cols>
  <sheetData>
    <row r="1" spans="1:2" s="7" customFormat="1" x14ac:dyDescent="0.35">
      <c r="A1" s="5" t="s">
        <v>20</v>
      </c>
      <c r="B1" s="6" t="s">
        <v>21</v>
      </c>
    </row>
    <row r="2" spans="1:2" s="7" customFormat="1" x14ac:dyDescent="0.35">
      <c r="A2" s="5" t="s">
        <v>22</v>
      </c>
      <c r="B2" s="6" t="s">
        <v>23</v>
      </c>
    </row>
    <row r="3" spans="1:2" s="7" customFormat="1" x14ac:dyDescent="0.35">
      <c r="A3" s="5" t="s">
        <v>24</v>
      </c>
      <c r="B3" s="6" t="s">
        <v>25</v>
      </c>
    </row>
    <row r="4" spans="1:2" s="7" customFormat="1" x14ac:dyDescent="0.35">
      <c r="A4" s="5" t="s">
        <v>26</v>
      </c>
      <c r="B4" s="6" t="s">
        <v>27</v>
      </c>
    </row>
    <row r="5" spans="1:2" s="10" customFormat="1" x14ac:dyDescent="0.35">
      <c r="A5" s="8" t="s">
        <v>28</v>
      </c>
      <c r="B5" s="9" t="s">
        <v>29</v>
      </c>
    </row>
    <row r="7" spans="1:2" ht="12.75" customHeight="1" x14ac:dyDescent="0.35">
      <c r="A7" s="11"/>
      <c r="B7" s="12" t="s">
        <v>0</v>
      </c>
    </row>
    <row r="8" spans="1:2" ht="12.75" customHeight="1" thickBot="1" x14ac:dyDescent="0.4">
      <c r="A8" s="13" t="s">
        <v>30</v>
      </c>
      <c r="B8" s="14" t="s">
        <v>2</v>
      </c>
    </row>
    <row r="9" spans="1:2" ht="12.75" customHeight="1" thickTop="1" x14ac:dyDescent="0.35">
      <c r="A9" s="15" t="s">
        <v>31</v>
      </c>
      <c r="B9" s="16" t="e">
        <f ca="1">StatCount(ST_NewBalance)</f>
        <v>#NAME?</v>
      </c>
    </row>
    <row r="10" spans="1:2" ht="12.75" customHeight="1" x14ac:dyDescent="0.35">
      <c r="A10" s="15" t="s">
        <v>32</v>
      </c>
      <c r="B10" s="17" t="e">
        <f ca="1">StatMean(ST_NewBalance)</f>
        <v>#NAME?</v>
      </c>
    </row>
    <row r="11" spans="1:2" ht="12.75" customHeight="1" x14ac:dyDescent="0.35">
      <c r="A11" s="18" t="s">
        <v>33</v>
      </c>
      <c r="B11" s="19" t="e">
        <f ca="1">StatStdDev(ST_NewBalance)</f>
        <v>#NAME?</v>
      </c>
    </row>
    <row r="12" spans="1:2" ht="12.75" customHeight="1" x14ac:dyDescent="0.35">
      <c r="A12" s="15" t="s">
        <v>34</v>
      </c>
      <c r="B12" s="20">
        <v>0.95</v>
      </c>
    </row>
    <row r="13" spans="1:2" ht="12.75" customHeight="1" x14ac:dyDescent="0.35">
      <c r="A13" s="15" t="s">
        <v>35</v>
      </c>
      <c r="B13" s="16" t="e">
        <f ca="1">B9 - 1</f>
        <v>#NAME?</v>
      </c>
    </row>
    <row r="14" spans="1:2" ht="12.75" customHeight="1" x14ac:dyDescent="0.35">
      <c r="A14" s="15" t="s">
        <v>36</v>
      </c>
      <c r="B14" s="17" t="e">
        <f ca="1">B10 - StatStudent(B13,"q to x", (1 - B12)/2) * (B11/SQRT(B9))</f>
        <v>#NAME?</v>
      </c>
    </row>
    <row r="15" spans="1:2" ht="12.75" customHeight="1" x14ac:dyDescent="0.35">
      <c r="A15" s="15" t="s">
        <v>37</v>
      </c>
      <c r="B15" s="17" t="e">
        <f ca="1">B10 + StatStudent(B13,"q to x", (1 - B12)/2) * (B11/SQRT(B9))</f>
        <v>#NAME?</v>
      </c>
    </row>
  </sheetData>
  <phoneticPr fontId="2" type="noConversion"/>
  <pageMargins left="0.75" right="0.75" top="1" bottom="1" header="0.5" footer="0.5"/>
  <pageSetup orientation="portrait" blackAndWhite="1" horizontalDpi="4294967293" verticalDpi="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vt:lpstr>
      <vt:lpstr>_STDS_DG2D4C8142</vt:lpstr>
      <vt:lpstr>Confidence Interval</vt:lpstr>
      <vt:lpstr>ST_NewBalance</vt:lpstr>
      <vt:lpstr>'Confidence Interval'!StatToolsHeader</vt:lpstr>
    </vt:vector>
  </TitlesOfParts>
  <Company>University of Cincinnati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Anderson</dc:creator>
  <cp:lastModifiedBy>Cochran, James</cp:lastModifiedBy>
  <dcterms:created xsi:type="dcterms:W3CDTF">2000-04-20T14:03:58Z</dcterms:created>
  <dcterms:modified xsi:type="dcterms:W3CDTF">2023-02-05T01:51:38Z</dcterms:modified>
</cp:coreProperties>
</file>