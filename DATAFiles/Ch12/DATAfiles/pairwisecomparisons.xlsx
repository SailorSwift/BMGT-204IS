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12 Proportions - Ohlmann\DATAfiles\"/>
    </mc:Choice>
  </mc:AlternateContent>
  <xr:revisionPtr revIDLastSave="0" documentId="13_ncr:1_{0AF03B8C-E0EB-4D2A-8966-9AB2CDEB1E6D}" xr6:coauthVersionLast="47" xr6:coauthVersionMax="47" xr10:uidLastSave="{00000000-0000-0000-0000-000000000000}"/>
  <bookViews>
    <workbookView xWindow="-23148" yWindow="4128" windowWidth="23256" windowHeight="12576" tabRatio="500" xr2:uid="{00000000-000D-0000-FFFF-FFFF00000000}"/>
  </bookViews>
  <sheets>
    <sheet name="3 Populations" sheetId="1" r:id="rId1"/>
    <sheet name="4 Pop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3" i="2" l="1"/>
  <c r="C23" i="2"/>
  <c r="D23" i="2"/>
  <c r="B16" i="2"/>
  <c r="E23" i="2"/>
  <c r="F23" i="2"/>
  <c r="G23" i="2"/>
  <c r="H23" i="2"/>
  <c r="B20" i="2"/>
  <c r="C20" i="2"/>
  <c r="D20" i="2"/>
  <c r="E20" i="2"/>
  <c r="F20" i="2"/>
  <c r="G20" i="2"/>
  <c r="H20" i="2"/>
  <c r="E25" i="2"/>
  <c r="F25" i="2"/>
  <c r="B25" i="2"/>
  <c r="C25" i="2"/>
  <c r="G25" i="2"/>
  <c r="E24" i="2"/>
  <c r="F24" i="2"/>
  <c r="B24" i="2"/>
  <c r="C24" i="2"/>
  <c r="G24" i="2"/>
  <c r="E21" i="2"/>
  <c r="E22" i="2"/>
  <c r="F22" i="2"/>
  <c r="B22" i="2"/>
  <c r="C22" i="2"/>
  <c r="G22" i="2"/>
  <c r="F21" i="2"/>
  <c r="B21" i="2"/>
  <c r="C21" i="2"/>
  <c r="G21" i="2"/>
  <c r="D13" i="1"/>
  <c r="C13" i="1"/>
  <c r="B13" i="1"/>
  <c r="F22" i="1"/>
  <c r="E22" i="1"/>
  <c r="F21" i="1"/>
  <c r="E21" i="1"/>
  <c r="F20" i="1"/>
  <c r="E20" i="1"/>
  <c r="B16" i="1"/>
  <c r="D21" i="2"/>
  <c r="H21" i="2"/>
  <c r="D22" i="2"/>
  <c r="H22" i="2"/>
  <c r="D24" i="2"/>
  <c r="H24" i="2"/>
  <c r="D25" i="2"/>
  <c r="H25" i="2"/>
  <c r="B20" i="1"/>
  <c r="B21" i="1"/>
  <c r="C21" i="1"/>
  <c r="G21" i="1"/>
  <c r="B22" i="1"/>
  <c r="C22" i="1"/>
  <c r="G22" i="1"/>
  <c r="C20" i="1"/>
  <c r="G20" i="1"/>
  <c r="D21" i="1"/>
  <c r="H21" i="1"/>
  <c r="D22" i="1"/>
  <c r="H22" i="1"/>
  <c r="D20" i="1"/>
  <c r="H20" i="1"/>
</calcChain>
</file>

<file path=xl/sharedStrings.xml><?xml version="1.0" encoding="utf-8"?>
<sst xmlns="http://schemas.openxmlformats.org/spreadsheetml/2006/main" count="54" uniqueCount="31">
  <si>
    <t>1 vs. 2</t>
  </si>
  <si>
    <t>1 vs. 3</t>
  </si>
  <si>
    <t>Difference</t>
  </si>
  <si>
    <t>Significant</t>
  </si>
  <si>
    <t>Alpha</t>
  </si>
  <si>
    <t>2 vs. 3</t>
  </si>
  <si>
    <t>pi</t>
  </si>
  <si>
    <t>pj</t>
  </si>
  <si>
    <t>ni</t>
  </si>
  <si>
    <t>nj</t>
  </si>
  <si>
    <t>Critical</t>
  </si>
  <si>
    <t>Chi-Square</t>
  </si>
  <si>
    <t>1 vs. 4</t>
  </si>
  <si>
    <t>2 vs. 4</t>
  </si>
  <si>
    <t>3 vs. 4</t>
  </si>
  <si>
    <t>Populations</t>
  </si>
  <si>
    <t>Sample Size</t>
  </si>
  <si>
    <t>Sample Results</t>
  </si>
  <si>
    <t>Sample Proportion</t>
  </si>
  <si>
    <t>Multiple Comparison Test for Three Population Proportions</t>
  </si>
  <si>
    <t xml:space="preserve">           whenever the null hypothesis of equal population proportions has been rejected.</t>
  </si>
  <si>
    <t>Pairwise</t>
  </si>
  <si>
    <t xml:space="preserve"> Comparison</t>
  </si>
  <si>
    <t>Note:  Use this worksheet to identify significant pairwise differences for population proportions</t>
  </si>
  <si>
    <t xml:space="preserve">           A multiple comparison test for four populations proportions is on the next worksheet.</t>
  </si>
  <si>
    <t>Multiple Comparison Test for Four Population Proportions</t>
  </si>
  <si>
    <t>Value</t>
  </si>
  <si>
    <t>Diff &gt; CV</t>
  </si>
  <si>
    <t>Enter data in the purple-shaded cells below.</t>
  </si>
  <si>
    <t>Significant pairwise differences are shown in cells H20:H22.</t>
  </si>
  <si>
    <t>Significant pairwise differences are shown in cells H20:H25.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</si>
</sst>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8"/>
      <name val="Times New Roman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BED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5" fillId="0" borderId="0" xfId="0" applyFont="1"/>
    <xf numFmtId="0" fontId="1" fillId="0" borderId="0" xfId="0" applyFont="1"/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0" fillId="2" borderId="0" xfId="0" applyNumberFormat="1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 customBuiltin="1"/>
  </cellStyles>
  <dxfs count="0"/>
  <tableStyles count="0" defaultTableStyle="TableStyleMedium9" defaultPivotStyle="PivotStyleMedium4"/>
  <colors>
    <mruColors>
      <color rgb="FFC8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Normal="100" zoomScalePageLayoutView="200" workbookViewId="0"/>
  </sheetViews>
  <sheetFormatPr defaultColWidth="11.140625" defaultRowHeight="15" x14ac:dyDescent="0.25"/>
  <cols>
    <col min="1" max="1" width="15.7109375" style="2" customWidth="1"/>
    <col min="2" max="4" width="9.7109375" style="2" customWidth="1"/>
    <col min="5" max="7" width="8.7109375" style="2" customWidth="1"/>
    <col min="8" max="16384" width="11.140625" style="2"/>
  </cols>
  <sheetData>
    <row r="1" spans="1:6" x14ac:dyDescent="0.25">
      <c r="A1" s="1" t="s">
        <v>19</v>
      </c>
    </row>
    <row r="3" spans="1:6" x14ac:dyDescent="0.25">
      <c r="A3" s="2" t="s">
        <v>23</v>
      </c>
    </row>
    <row r="4" spans="1:6" x14ac:dyDescent="0.25">
      <c r="A4" s="2" t="s">
        <v>20</v>
      </c>
    </row>
    <row r="5" spans="1:6" x14ac:dyDescent="0.25">
      <c r="A5" s="2" t="s">
        <v>24</v>
      </c>
    </row>
    <row r="7" spans="1:6" x14ac:dyDescent="0.25">
      <c r="A7" s="2" t="s">
        <v>28</v>
      </c>
    </row>
    <row r="8" spans="1:6" x14ac:dyDescent="0.25">
      <c r="A8" s="2" t="s">
        <v>29</v>
      </c>
    </row>
    <row r="10" spans="1:6" x14ac:dyDescent="0.25">
      <c r="B10" s="13" t="s">
        <v>15</v>
      </c>
      <c r="C10" s="13"/>
      <c r="D10" s="13"/>
    </row>
    <row r="11" spans="1:6" x14ac:dyDescent="0.25">
      <c r="A11" s="3" t="s">
        <v>17</v>
      </c>
      <c r="B11" s="4">
        <v>1</v>
      </c>
      <c r="C11" s="4">
        <v>2</v>
      </c>
      <c r="D11" s="4">
        <v>3</v>
      </c>
      <c r="E11" s="5"/>
      <c r="F11" s="5"/>
    </row>
    <row r="12" spans="1:6" x14ac:dyDescent="0.25">
      <c r="A12" s="2" t="s">
        <v>16</v>
      </c>
      <c r="B12" s="6">
        <v>125</v>
      </c>
      <c r="C12" s="6">
        <v>200</v>
      </c>
      <c r="D12" s="6">
        <v>175</v>
      </c>
      <c r="E12" s="5"/>
      <c r="F12" s="5"/>
    </row>
    <row r="13" spans="1:6" x14ac:dyDescent="0.25">
      <c r="A13" s="2" t="s">
        <v>18</v>
      </c>
      <c r="B13" s="7">
        <f>69/125</f>
        <v>0.55200000000000005</v>
      </c>
      <c r="C13" s="7">
        <f>120/200</f>
        <v>0.6</v>
      </c>
      <c r="D13" s="7">
        <f>123/175</f>
        <v>0.70285714285714285</v>
      </c>
      <c r="E13" s="8"/>
      <c r="F13" s="8"/>
    </row>
    <row r="15" spans="1:6" x14ac:dyDescent="0.25">
      <c r="A15" s="2" t="s">
        <v>4</v>
      </c>
      <c r="B15" s="6">
        <v>0.05</v>
      </c>
    </row>
    <row r="16" spans="1:6" x14ac:dyDescent="0.25">
      <c r="A16" s="2" t="s">
        <v>11</v>
      </c>
      <c r="B16" s="9">
        <f>_xlfn.CHISQ.INV.RT(B15,2)</f>
        <v>5.9914645471079817</v>
      </c>
    </row>
    <row r="17" spans="1:8" x14ac:dyDescent="0.25">
      <c r="B17" s="9"/>
    </row>
    <row r="18" spans="1:8" x14ac:dyDescent="0.25">
      <c r="A18" s="10" t="s">
        <v>21</v>
      </c>
      <c r="B18" s="1"/>
      <c r="C18" s="1"/>
      <c r="D18" s="1"/>
      <c r="E18" s="1"/>
      <c r="F18" s="1"/>
      <c r="G18" s="10" t="s">
        <v>10</v>
      </c>
      <c r="H18" s="10" t="s">
        <v>3</v>
      </c>
    </row>
    <row r="19" spans="1:8" x14ac:dyDescent="0.25">
      <c r="A19" s="11" t="s">
        <v>22</v>
      </c>
      <c r="B19" s="11" t="s">
        <v>6</v>
      </c>
      <c r="C19" s="11" t="s">
        <v>7</v>
      </c>
      <c r="D19" s="11" t="s">
        <v>2</v>
      </c>
      <c r="E19" s="11" t="s">
        <v>8</v>
      </c>
      <c r="F19" s="11" t="s">
        <v>9</v>
      </c>
      <c r="G19" s="11" t="s">
        <v>26</v>
      </c>
      <c r="H19" s="11" t="s">
        <v>27</v>
      </c>
    </row>
    <row r="20" spans="1:8" x14ac:dyDescent="0.25">
      <c r="A20" s="5" t="s">
        <v>0</v>
      </c>
      <c r="B20" s="8">
        <f>B13</f>
        <v>0.55200000000000005</v>
      </c>
      <c r="C20" s="8">
        <f>B22</f>
        <v>0.6</v>
      </c>
      <c r="D20" s="8">
        <f>ABS(B20-C20)</f>
        <v>4.7999999999999932E-2</v>
      </c>
      <c r="E20" s="12">
        <f>B12</f>
        <v>125</v>
      </c>
      <c r="F20" s="12">
        <f>C12</f>
        <v>200</v>
      </c>
      <c r="G20" s="8">
        <f>SQRT($B$16)*SQRT(B20*(1-B20)/E20+C20*(1-C20)/F20)</f>
        <v>0.13799666369033167</v>
      </c>
      <c r="H20" s="5" t="str">
        <f>IF(D20&gt;G20,"Yes","")</f>
        <v/>
      </c>
    </row>
    <row r="21" spans="1:8" x14ac:dyDescent="0.25">
      <c r="A21" s="5" t="s">
        <v>1</v>
      </c>
      <c r="B21" s="8">
        <f>B20</f>
        <v>0.55200000000000005</v>
      </c>
      <c r="C21" s="8">
        <f>D13</f>
        <v>0.70285714285714285</v>
      </c>
      <c r="D21" s="8">
        <f t="shared" ref="D21:D22" si="0">ABS(B21-C21)</f>
        <v>0.1508571428571428</v>
      </c>
      <c r="E21" s="12">
        <f>B12</f>
        <v>125</v>
      </c>
      <c r="F21" s="12">
        <f>D12</f>
        <v>175</v>
      </c>
      <c r="G21" s="8">
        <f t="shared" ref="G21:G22" si="1">SQRT($B$16)*SQRT(B21*(1-B21)/E21+C21*(1-C21)/F21)</f>
        <v>0.1378538057969369</v>
      </c>
      <c r="H21" s="5" t="str">
        <f t="shared" ref="H21:H22" si="2">IF(D21&gt;G21,"Yes","")</f>
        <v>Yes</v>
      </c>
    </row>
    <row r="22" spans="1:8" x14ac:dyDescent="0.25">
      <c r="A22" s="5" t="s">
        <v>5</v>
      </c>
      <c r="B22" s="8">
        <f>C13</f>
        <v>0.6</v>
      </c>
      <c r="C22" s="8">
        <f>C21</f>
        <v>0.70285714285714285</v>
      </c>
      <c r="D22" s="8">
        <f t="shared" si="0"/>
        <v>0.10285714285714287</v>
      </c>
      <c r="E22" s="12">
        <f>C12</f>
        <v>200</v>
      </c>
      <c r="F22" s="12">
        <f>D12</f>
        <v>175</v>
      </c>
      <c r="G22" s="8">
        <f t="shared" si="1"/>
        <v>0.11975018787499354</v>
      </c>
      <c r="H22" s="5" t="str">
        <f t="shared" si="2"/>
        <v/>
      </c>
    </row>
  </sheetData>
  <mergeCells count="1">
    <mergeCell ref="B10:D10"/>
  </mergeCells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zoomScaleNormal="100" zoomScalePageLayoutView="200" workbookViewId="0"/>
  </sheetViews>
  <sheetFormatPr defaultColWidth="11.140625" defaultRowHeight="15" x14ac:dyDescent="0.25"/>
  <cols>
    <col min="1" max="1" width="15.7109375" style="14" customWidth="1"/>
    <col min="2" max="4" width="9.7109375" style="14" customWidth="1"/>
    <col min="5" max="7" width="8.7109375" style="14" customWidth="1"/>
    <col min="8" max="16384" width="11.140625" style="14"/>
  </cols>
  <sheetData>
    <row r="1" spans="1:6" x14ac:dyDescent="0.25">
      <c r="A1" s="1" t="s">
        <v>25</v>
      </c>
    </row>
    <row r="3" spans="1:6" x14ac:dyDescent="0.25">
      <c r="A3" s="14" t="s">
        <v>23</v>
      </c>
    </row>
    <row r="4" spans="1:6" x14ac:dyDescent="0.25">
      <c r="A4" s="14" t="s">
        <v>20</v>
      </c>
    </row>
    <row r="6" spans="1:6" x14ac:dyDescent="0.25">
      <c r="A6" s="14" t="s">
        <v>28</v>
      </c>
    </row>
    <row r="7" spans="1:6" x14ac:dyDescent="0.25">
      <c r="A7" s="14" t="s">
        <v>30</v>
      </c>
    </row>
    <row r="10" spans="1:6" x14ac:dyDescent="0.25">
      <c r="B10" s="13" t="s">
        <v>15</v>
      </c>
      <c r="C10" s="13"/>
      <c r="D10" s="13"/>
      <c r="E10" s="13"/>
      <c r="F10" s="15"/>
    </row>
    <row r="11" spans="1:6" x14ac:dyDescent="0.25">
      <c r="A11" s="3" t="s">
        <v>17</v>
      </c>
      <c r="B11" s="16">
        <v>1</v>
      </c>
      <c r="C11" s="16">
        <v>2</v>
      </c>
      <c r="D11" s="16">
        <v>3</v>
      </c>
      <c r="E11" s="17">
        <v>4</v>
      </c>
      <c r="F11" s="18"/>
    </row>
    <row r="12" spans="1:6" x14ac:dyDescent="0.25">
      <c r="A12" s="14" t="s">
        <v>16</v>
      </c>
      <c r="B12" s="19">
        <v>400</v>
      </c>
      <c r="C12" s="19">
        <v>450</v>
      </c>
      <c r="D12" s="19">
        <v>325</v>
      </c>
      <c r="E12" s="19">
        <v>600</v>
      </c>
      <c r="F12" s="20"/>
    </row>
    <row r="13" spans="1:6" x14ac:dyDescent="0.25">
      <c r="A13" s="14" t="s">
        <v>18</v>
      </c>
      <c r="B13" s="21">
        <v>0.4</v>
      </c>
      <c r="C13" s="21">
        <v>0.55000000000000004</v>
      </c>
      <c r="D13" s="21">
        <v>0.44</v>
      </c>
      <c r="E13" s="21">
        <v>0.42</v>
      </c>
      <c r="F13" s="18"/>
    </row>
    <row r="15" spans="1:6" x14ac:dyDescent="0.25">
      <c r="A15" s="14" t="s">
        <v>4</v>
      </c>
      <c r="B15" s="19">
        <v>0.05</v>
      </c>
    </row>
    <row r="16" spans="1:6" x14ac:dyDescent="0.25">
      <c r="A16" s="14" t="s">
        <v>11</v>
      </c>
      <c r="B16" s="22">
        <f>_xlfn.CHISQ.INV.RT(B15,3)</f>
        <v>7.8147279032511792</v>
      </c>
    </row>
    <row r="17" spans="1:9" x14ac:dyDescent="0.25">
      <c r="B17" s="22"/>
    </row>
    <row r="18" spans="1:9" x14ac:dyDescent="0.25">
      <c r="A18" s="10" t="s">
        <v>21</v>
      </c>
      <c r="B18" s="1"/>
      <c r="C18" s="1"/>
      <c r="D18" s="1"/>
      <c r="E18" s="1"/>
      <c r="F18" s="1"/>
      <c r="G18" s="10" t="s">
        <v>10</v>
      </c>
      <c r="H18" s="10" t="s">
        <v>3</v>
      </c>
    </row>
    <row r="19" spans="1:9" x14ac:dyDescent="0.25">
      <c r="A19" s="11" t="s">
        <v>22</v>
      </c>
      <c r="B19" s="11" t="s">
        <v>6</v>
      </c>
      <c r="C19" s="11" t="s">
        <v>7</v>
      </c>
      <c r="D19" s="11" t="s">
        <v>2</v>
      </c>
      <c r="E19" s="11" t="s">
        <v>8</v>
      </c>
      <c r="F19" s="11" t="s">
        <v>9</v>
      </c>
      <c r="G19" s="11" t="s">
        <v>26</v>
      </c>
      <c r="H19" s="11" t="s">
        <v>27</v>
      </c>
    </row>
    <row r="20" spans="1:9" x14ac:dyDescent="0.25">
      <c r="A20" s="15" t="s">
        <v>0</v>
      </c>
      <c r="B20" s="23">
        <f>B13</f>
        <v>0.4</v>
      </c>
      <c r="C20" s="23">
        <f>C13</f>
        <v>0.55000000000000004</v>
      </c>
      <c r="D20" s="23">
        <f>ABS(B20-C20)</f>
        <v>0.15000000000000002</v>
      </c>
      <c r="E20" s="15">
        <f>B12</f>
        <v>400</v>
      </c>
      <c r="F20" s="15">
        <f>C12</f>
        <v>450</v>
      </c>
      <c r="G20" s="23">
        <f>SQRT(B16)*SQRT(B20*(1-B20)/E20+C20*(1-C20)/F20)</f>
        <v>9.4799457217532926E-2</v>
      </c>
      <c r="H20" s="15" t="str">
        <f t="shared" ref="H20:H25" si="0">IF(D20&gt;G20,"Yes","")</f>
        <v>Yes</v>
      </c>
      <c r="I20" s="15"/>
    </row>
    <row r="21" spans="1:9" x14ac:dyDescent="0.25">
      <c r="A21" s="15" t="s">
        <v>1</v>
      </c>
      <c r="B21" s="23">
        <f>B13</f>
        <v>0.4</v>
      </c>
      <c r="C21" s="23">
        <f>D13</f>
        <v>0.44</v>
      </c>
      <c r="D21" s="23">
        <f t="shared" ref="D21:D25" si="1">ABS(B21-C21)</f>
        <v>3.999999999999998E-2</v>
      </c>
      <c r="E21" s="15">
        <f>E20</f>
        <v>400</v>
      </c>
      <c r="F21" s="15">
        <f>D12</f>
        <v>325</v>
      </c>
      <c r="G21" s="23">
        <f>SQRT(B16)*SQRT(B21*(1-B21)/E21+C21*(1-C21)/F21)</f>
        <v>0.10302234106467574</v>
      </c>
      <c r="H21" s="15" t="str">
        <f t="shared" si="0"/>
        <v/>
      </c>
      <c r="I21" s="15"/>
    </row>
    <row r="22" spans="1:9" x14ac:dyDescent="0.25">
      <c r="A22" s="15" t="s">
        <v>12</v>
      </c>
      <c r="B22" s="23">
        <f>B13</f>
        <v>0.4</v>
      </c>
      <c r="C22" s="23">
        <f>E13</f>
        <v>0.42</v>
      </c>
      <c r="D22" s="23">
        <f t="shared" si="1"/>
        <v>1.9999999999999962E-2</v>
      </c>
      <c r="E22" s="15">
        <f>E21</f>
        <v>400</v>
      </c>
      <c r="F22" s="15">
        <f>E12</f>
        <v>600</v>
      </c>
      <c r="G22" s="23">
        <f>SQRT(B16)*SQRT(B22*(1-B22)/E22+C22*(1-C22)/F22)</f>
        <v>8.8665755907625848E-2</v>
      </c>
      <c r="H22" s="15" t="str">
        <f t="shared" si="0"/>
        <v/>
      </c>
      <c r="I22" s="15"/>
    </row>
    <row r="23" spans="1:9" x14ac:dyDescent="0.25">
      <c r="A23" s="15" t="s">
        <v>5</v>
      </c>
      <c r="B23" s="23">
        <f>C13</f>
        <v>0.55000000000000004</v>
      </c>
      <c r="C23" s="23">
        <f>D13</f>
        <v>0.44</v>
      </c>
      <c r="D23" s="23">
        <f t="shared" si="1"/>
        <v>0.11000000000000004</v>
      </c>
      <c r="E23" s="15">
        <f>C12</f>
        <v>450</v>
      </c>
      <c r="F23" s="15">
        <f>D12</f>
        <v>325</v>
      </c>
      <c r="G23" s="23">
        <f>SQRT(B16)*SQRT(B23*(1-B23)/E23+C23*(1-C23)/F23)</f>
        <v>0.10110819137579216</v>
      </c>
      <c r="H23" s="15" t="str">
        <f>IF(D23&gt;G23,"Yes","")</f>
        <v>Yes</v>
      </c>
      <c r="I23" s="15"/>
    </row>
    <row r="24" spans="1:9" x14ac:dyDescent="0.25">
      <c r="A24" s="15" t="s">
        <v>13</v>
      </c>
      <c r="B24" s="23">
        <f>C13</f>
        <v>0.55000000000000004</v>
      </c>
      <c r="C24" s="23">
        <f>E13</f>
        <v>0.42</v>
      </c>
      <c r="D24" s="23">
        <f t="shared" si="1"/>
        <v>0.13000000000000006</v>
      </c>
      <c r="E24" s="15">
        <f>E23</f>
        <v>450</v>
      </c>
      <c r="F24" s="15">
        <f>E12</f>
        <v>600</v>
      </c>
      <c r="G24" s="23">
        <f>SQRT(B16)*SQRT(B24*(1-B24)/E24+C24*(1-C24)/F24)</f>
        <v>8.6434251749570493E-2</v>
      </c>
      <c r="H24" s="15" t="str">
        <f t="shared" si="0"/>
        <v>Yes</v>
      </c>
      <c r="I24" s="15"/>
    </row>
    <row r="25" spans="1:9" x14ac:dyDescent="0.25">
      <c r="A25" s="15" t="s">
        <v>14</v>
      </c>
      <c r="B25" s="23">
        <f>D13</f>
        <v>0.44</v>
      </c>
      <c r="C25" s="23">
        <f>E13</f>
        <v>0.42</v>
      </c>
      <c r="D25" s="23">
        <f t="shared" si="1"/>
        <v>2.0000000000000018E-2</v>
      </c>
      <c r="E25" s="15">
        <f>D12</f>
        <v>325</v>
      </c>
      <c r="F25" s="15">
        <f>E12</f>
        <v>600</v>
      </c>
      <c r="G25" s="23">
        <f>SQRT(B16)*SQRT(B25*(1-B25)/E25+C25*(1-C25)/F25)</f>
        <v>9.5381054435436194E-2</v>
      </c>
      <c r="H25" s="15" t="str">
        <f t="shared" si="0"/>
        <v/>
      </c>
      <c r="I25" s="15"/>
    </row>
  </sheetData>
  <mergeCells count="1">
    <mergeCell ref="B10:E10"/>
  </mergeCells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Populations</vt:lpstr>
      <vt:lpstr>4 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Cochran, James</cp:lastModifiedBy>
  <cp:lastPrinted>2013-04-07T17:57:23Z</cp:lastPrinted>
  <dcterms:created xsi:type="dcterms:W3CDTF">2011-11-07T13:16:35Z</dcterms:created>
  <dcterms:modified xsi:type="dcterms:W3CDTF">2023-04-28T15:34:11Z</dcterms:modified>
</cp:coreProperties>
</file>