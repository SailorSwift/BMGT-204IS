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mnor\Desktop\"/>
    </mc:Choice>
  </mc:AlternateContent>
  <xr:revisionPtr revIDLastSave="0" documentId="8_{8A6CB926-5174-45A9-A2C2-DCB3F779B7F0}" xr6:coauthVersionLast="47" xr6:coauthVersionMax="47" xr10:uidLastSave="{00000000-0000-0000-0000-000000000000}"/>
  <bookViews>
    <workbookView xWindow="-110" yWindow="-110" windowWidth="19420" windowHeight="11620" xr2:uid="{00000000-000D-0000-FFFF-FFFF00000000}"/>
  </bookViews>
  <sheets>
    <sheet name="Schedule" sheetId="4" r:id="rId1"/>
    <sheet name="GradePoints"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5" l="1"/>
  <c r="F10" i="5"/>
  <c r="F9" i="5"/>
  <c r="F8" i="5"/>
  <c r="F7" i="5"/>
  <c r="F6" i="5"/>
  <c r="F14" i="5" s="1"/>
  <c r="F5" i="5"/>
  <c r="F4" i="5"/>
  <c r="F3" i="5"/>
  <c r="J12" i="5" l="1"/>
  <c r="J11" i="5"/>
  <c r="J4" i="5"/>
  <c r="J10" i="5"/>
  <c r="J9" i="5"/>
  <c r="K3" i="5"/>
  <c r="J8" i="5"/>
  <c r="J7" i="5"/>
  <c r="J13" i="5"/>
  <c r="J6" i="5"/>
  <c r="J5" i="5"/>
</calcChain>
</file>

<file path=xl/sharedStrings.xml><?xml version="1.0" encoding="utf-8"?>
<sst xmlns="http://schemas.openxmlformats.org/spreadsheetml/2006/main" count="206" uniqueCount="168">
  <si>
    <t>Assignment Type</t>
  </si>
  <si>
    <t>Number of assignments</t>
  </si>
  <si>
    <t>Points per assignment</t>
  </si>
  <si>
    <t>Total points before dropped assignments</t>
  </si>
  <si>
    <t>Number of assignments dropped</t>
  </si>
  <si>
    <t>Total points</t>
  </si>
  <si>
    <t>Percentage of final grade</t>
  </si>
  <si>
    <t xml:space="preserve">What is statistics </t>
  </si>
  <si>
    <t>MAX</t>
  </si>
  <si>
    <t>Assignments</t>
  </si>
  <si>
    <t>F</t>
  </si>
  <si>
    <t>Quizes</t>
  </si>
  <si>
    <t>D</t>
  </si>
  <si>
    <t>In class Projects</t>
  </si>
  <si>
    <t>C-</t>
  </si>
  <si>
    <t>Final Project</t>
  </si>
  <si>
    <t>C</t>
  </si>
  <si>
    <t>Final Exam</t>
  </si>
  <si>
    <t>C+</t>
  </si>
  <si>
    <t>Attendance and participation</t>
  </si>
  <si>
    <t>B-</t>
  </si>
  <si>
    <t>Exams (2 assigned, no scores dropped)</t>
  </si>
  <si>
    <t>B</t>
  </si>
  <si>
    <t xml:space="preserve">Exam Practice </t>
  </si>
  <si>
    <t>B+</t>
  </si>
  <si>
    <t>Extra Credit - Jabs Career Symposium</t>
  </si>
  <si>
    <t>15 possible</t>
  </si>
  <si>
    <t>A-</t>
  </si>
  <si>
    <t xml:space="preserve">Other Extra Credit Oppoirtunities </t>
  </si>
  <si>
    <t>A</t>
  </si>
  <si>
    <t xml:space="preserve">     TOTAL</t>
  </si>
  <si>
    <t>The class schedule may be adjusted to ensure adequate coverage of material that is most critical to your learning. Any changes will be communicated during class and posted in Canvas Announcements and/or sent through Canvas.</t>
  </si>
  <si>
    <t>Focus</t>
  </si>
  <si>
    <t>Week</t>
  </si>
  <si>
    <t>Date</t>
  </si>
  <si>
    <t>Day</t>
  </si>
  <si>
    <t>Topic</t>
  </si>
  <si>
    <t>Readings</t>
  </si>
  <si>
    <t>Assignments
(at 11:59 pm MT)</t>
  </si>
  <si>
    <t>Quizzes
(at 11:59 pm MT)</t>
  </si>
  <si>
    <t>Course Intro / Ch. 1</t>
  </si>
  <si>
    <t>Aug 27</t>
  </si>
  <si>
    <t>TH</t>
  </si>
  <si>
    <t>Course introduction, Connect access, expectations, and a condensed introduction to statistics: what statistics is, how it is used in business, and common statistical pitfalls.</t>
  </si>
  <si>
    <t>Syllabus + Chapter 1</t>
  </si>
  <si>
    <t>Chapters 2–3</t>
  </si>
  <si>
    <t>Sep 1</t>
  </si>
  <si>
    <t>T</t>
  </si>
  <si>
    <t>Chapter 2: Data types, variables, sampling methods, and survey design. Emphasis on recognizing the right type of data for a business question.</t>
  </si>
  <si>
    <t>Chapter 2</t>
  </si>
  <si>
    <t>Chapter 1 Homework / Practice</t>
  </si>
  <si>
    <t>Chapter 1 Quiz</t>
  </si>
  <si>
    <t>Sep 3</t>
  </si>
  <si>
    <t>Chapter 3: Creating and interpreting visual displays; effective Excel charts, misleading graphs, and choosing the right visualization.</t>
  </si>
  <si>
    <t>Chapter 3 + PPT</t>
  </si>
  <si>
    <t>Chapter 2 Practice Problems</t>
  </si>
  <si>
    <t>Chapter 2 Quiz</t>
  </si>
  <si>
    <t>Chapter 4</t>
  </si>
  <si>
    <t>Sep 8</t>
  </si>
  <si>
    <t>Measures of center and interpreting distributions. Connect descriptive statistics to business decisions and real datasets.</t>
  </si>
  <si>
    <t>Chapter 3 Practice Problems</t>
  </si>
  <si>
    <t>Chapter 3 Quiz</t>
  </si>
  <si>
    <t>Sep 10</t>
  </si>
  <si>
    <t>Measures of variability, distribution shape, and descriptive statistics in Excel.</t>
  </si>
  <si>
    <t>Chapter 4 + PPT</t>
  </si>
  <si>
    <t>Chapter 4 Practice Problems</t>
  </si>
  <si>
    <t>Chapter 4 Quiz</t>
  </si>
  <si>
    <t>Exam 1</t>
  </si>
  <si>
    <t>Sep 15</t>
  </si>
  <si>
    <t>Exam 1 review and required practice: Chapters 1–4. Focus on applying concepts rather than memorizing definitions.</t>
  </si>
  <si>
    <t>Chapters 1–4 Review</t>
  </si>
  <si>
    <t>Required Exam 1 Practice</t>
  </si>
  <si>
    <t>Sep 17</t>
  </si>
  <si>
    <t>EXAM 1 — Chapters 1, 2, 3, and 4.</t>
  </si>
  <si>
    <t>EXAM 1</t>
  </si>
  <si>
    <t>Chapter 8</t>
  </si>
  <si>
    <t>Sep 22</t>
  </si>
  <si>
    <t>Sampling distributions and the Central Limit Theorem. Why sample statistics vary and why the CLT matters for inference.</t>
  </si>
  <si>
    <t>Sep 24</t>
  </si>
  <si>
    <t>Confidence intervals: interpreting confidence level, margin of error, and practical meaning in business settings.</t>
  </si>
  <si>
    <t>Chapter 8 + PPT</t>
  </si>
  <si>
    <t>Chapter 8 / Project 1</t>
  </si>
  <si>
    <t>Sep 29</t>
  </si>
  <si>
    <t>Confidence intervals and sampling error in Excel; selecting the appropriate inputs and communicating results.</t>
  </si>
  <si>
    <t>Chapter 8 Practice Problems</t>
  </si>
  <si>
    <t>Oct 1</t>
  </si>
  <si>
    <t>PROJECT #1 — Heart Data: apply descriptive statistics and confidence intervals to a real dataset.</t>
  </si>
  <si>
    <t>Project 1 Instructions</t>
  </si>
  <si>
    <t>Project 1</t>
  </si>
  <si>
    <t>Chapter 8 Quiz</t>
  </si>
  <si>
    <t>Chapter 9</t>
  </si>
  <si>
    <t>Oct 6</t>
  </si>
  <si>
    <t>Introduction to hypothesis testing: null and alternative hypotheses, test statistics, significance levels, and decision logic.</t>
  </si>
  <si>
    <t>Oct 8</t>
  </si>
  <si>
    <t>One-sample hypothesis tests and confidence intervals; choosing the correct test and stating conclusions in context.</t>
  </si>
  <si>
    <t>Chapter 9 + PPT</t>
  </si>
  <si>
    <t>Chapter 9 / Project 2</t>
  </si>
  <si>
    <t>Oct 13</t>
  </si>
  <si>
    <t>Type I and Type II errors, p-values, practical vs. statistical significance, and interpreting results responsibly.</t>
  </si>
  <si>
    <t>Chapter 9 Practice Problems</t>
  </si>
  <si>
    <t>Oct 15</t>
  </si>
  <si>
    <t>Hypothesis testing in Excel using the Heart Data; applied analysis and communication of findings.</t>
  </si>
  <si>
    <t>Project 2 Instructions</t>
  </si>
  <si>
    <t>Project 2</t>
  </si>
  <si>
    <t>Chapter 9 Quiz</t>
  </si>
  <si>
    <t>Exam 2</t>
  </si>
  <si>
    <t>Oct 20</t>
  </si>
  <si>
    <t>Exam 2 review and application practice for Chapters 8–9.</t>
  </si>
  <si>
    <t>Chapters 8–9 Review</t>
  </si>
  <si>
    <t>Required Exam 2 Practice</t>
  </si>
  <si>
    <t>Oct 22</t>
  </si>
  <si>
    <t>EXAM 2 — Chapters 8 and 9.</t>
  </si>
  <si>
    <t>EXAM 2</t>
  </si>
  <si>
    <t>Chapter 10</t>
  </si>
  <si>
    <t>Oct 27</t>
  </si>
  <si>
    <t>Two-sample inference: comparing independent groups using confidence intervals and hypothesis tests.</t>
  </si>
  <si>
    <t>Oct 29</t>
  </si>
  <si>
    <t>Paired vs. independent samples; selecting the correct two-sample procedure and interpreting differences.</t>
  </si>
  <si>
    <t>Chapter 10 + PPT</t>
  </si>
  <si>
    <t>Chapter 10 Practice Problems</t>
  </si>
  <si>
    <t>Chapters 10–11</t>
  </si>
  <si>
    <t>Nov 3</t>
  </si>
  <si>
    <t>Chapter 10 applications in Excel and business intelligence tools; communicating comparisons clearly.</t>
  </si>
  <si>
    <t>Chapter 10 Quiz</t>
  </si>
  <si>
    <t>Nov 5</t>
  </si>
  <si>
    <t>Chapter 11: Introduction to Analysis of Variance (ANOVA); comparing means across three or more groups.</t>
  </si>
  <si>
    <t>Chapter 11</t>
  </si>
  <si>
    <t>Nov 10</t>
  </si>
  <si>
    <t>ANOVA in Excel: assumptions, F statistic, p-values, and interpreting the overall test.</t>
  </si>
  <si>
    <t>Chapter 11 + PPT</t>
  </si>
  <si>
    <t>Chapter 11 Practice Problems</t>
  </si>
  <si>
    <t>Nov 12</t>
  </si>
  <si>
    <t>ANOVA application and interpretation: turning multi-group comparisons into a clear business conclusion.</t>
  </si>
  <si>
    <t>Chapter 11 Quiz</t>
  </si>
  <si>
    <t>Chapter 12: Simple Regression</t>
  </si>
  <si>
    <t>Nov 17</t>
  </si>
  <si>
    <t>Correlation and simple linear regression: direction, strength, the regression equation, residuals, and prediction.</t>
  </si>
  <si>
    <t>Chapter 12</t>
  </si>
  <si>
    <t>Nov 19</t>
  </si>
  <si>
    <t>Simple linear regression in Excel using Salary Data; interpreting slope, intercept, R², and model output.</t>
  </si>
  <si>
    <t>Chapter 12 + Project 3 Instructions</t>
  </si>
  <si>
    <t>Project 3 — Salary Data</t>
  </si>
  <si>
    <t>FALL BREAK</t>
  </si>
  <si>
    <t>Nov 24</t>
  </si>
  <si>
    <t>Fall Break — NO CLASSES.</t>
  </si>
  <si>
    <t>Nov 26</t>
  </si>
  <si>
    <t>Fall Break — NO CLASSES. University offices closed November 26–27.</t>
  </si>
  <si>
    <t>Chapters 12–13: Regression</t>
  </si>
  <si>
    <t>Dec 1</t>
  </si>
  <si>
    <t>Chapter 13: Multiple regression — extending simple regression to multiple predictors; interpreting coefficients while holding other variables constant.</t>
  </si>
  <si>
    <t>Chapter 13</t>
  </si>
  <si>
    <t>Dec 3</t>
  </si>
  <si>
    <t>Multiple regression in Excel: model output, R² vs. adjusted R², significance of predictors, and business interpretation.</t>
  </si>
  <si>
    <t>Chapter 13 + PPT</t>
  </si>
  <si>
    <t>Regression Practice Problems</t>
  </si>
  <si>
    <t>Regression / Final Integration</t>
  </si>
  <si>
    <t>Dec 8</t>
  </si>
  <si>
    <t>Regression model evaluation, prediction, and communicating results. Compare simple and multiple regression and identify common interpretation mistakes.</t>
  </si>
  <si>
    <t>Chapters 12–13 Review</t>
  </si>
  <si>
    <t>Regression Quiz (Ch. 12–13)</t>
  </si>
  <si>
    <t>Dec 10</t>
  </si>
  <si>
    <t>Final project integration, review for the final exam, course wrap-up, and application of statistics to business decision-making.</t>
  </si>
  <si>
    <t>Final Review</t>
  </si>
  <si>
    <t>Final Project / Course Evaluation</t>
  </si>
  <si>
    <t>FINAL EXAM</t>
  </si>
  <si>
    <t>Date/time per official MSU final exam schedule</t>
  </si>
  <si>
    <t>Final Exam: Chapters 10–13. The final must be taken at the officially scheduled date/time unless an approved university exception applies.</t>
  </si>
  <si>
    <t xml:space="preserve">BMIS 240 Business Statistics – Fall 2026 Course Calendar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</si>
</sst>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ont>
    <font>
      <sz val="9"/>
      <color theme="1"/>
      <name val="Calibri"/>
    </font>
    <font>
      <b/>
      <sz val="11"/>
      <color theme="1"/>
      <name val="Calibri"/>
    </font>
    <font>
      <sz val="11"/>
      <color theme="1"/>
      <name val="Calibri"/>
    </font>
    <font>
      <b/>
      <sz val="12"/>
      <color theme="1"/>
      <name val="Calibri"/>
    </font>
    <font>
      <b/>
      <i/>
      <sz val="11"/>
      <color theme="1"/>
      <name val="Calibri"/>
    </font>
    <font>
      <sz val="11"/>
      <color theme="1"/>
      <name val="Calibri"/>
    </font>
    <font>
      <i/>
      <sz val="11"/>
      <color theme="1"/>
      <name val="Calibri"/>
    </font>
    <font>
      <sz val="11"/>
      <name val="Calibri"/>
    </font>
    <font>
      <sz val="11"/>
      <color rgb="FF0070C0"/>
      <name val="Calibri"/>
    </font>
    <font>
      <sz val="11"/>
      <color theme="0"/>
      <name val="Calibri"/>
    </font>
    <font>
      <sz val="9"/>
      <color theme="0"/>
      <name val="Calibri"/>
    </font>
    <font>
      <b/>
      <sz val="10"/>
      <color theme="1"/>
      <name val="Aptos"/>
    </font>
    <font>
      <sz val="10"/>
      <color theme="1"/>
      <name val="Aptos"/>
    </font>
    <font>
      <b/>
      <sz val="10"/>
      <color rgb="FF0070C0"/>
      <name val="Aptos"/>
    </font>
    <font>
      <b/>
      <sz val="15"/>
      <color theme="1"/>
      <name val="Aptos Display"/>
    </font>
    <font>
      <sz val="10"/>
      <color rgb="FF000000"/>
      <name val="Aptos"/>
    </font>
    <font>
      <sz val="10"/>
      <color rgb="FF0563C1"/>
      <name val="Aptos"/>
    </font>
    <font>
      <b/>
      <sz val="10"/>
      <color rgb="FF000000"/>
      <name val="Aptos"/>
    </font>
    <font>
      <b/>
      <i/>
      <sz val="10"/>
      <color rgb="FF000000"/>
      <name val="Aptos"/>
    </font>
  </fonts>
  <fills count="8">
    <fill>
      <patternFill patternType="none"/>
    </fill>
    <fill>
      <patternFill patternType="gray125"/>
    </fill>
    <fill>
      <patternFill patternType="solid">
        <fgColor theme="6" tint="0.79995117038483843"/>
        <bgColor indexed="65"/>
      </patternFill>
    </fill>
    <fill>
      <patternFill patternType="solid">
        <fgColor theme="7" tint="0.79995117038483843"/>
        <bgColor indexed="65"/>
      </patternFill>
    </fill>
    <fill>
      <patternFill patternType="solid">
        <fgColor rgb="FFD9EAF7"/>
      </patternFill>
    </fill>
    <fill>
      <patternFill patternType="solid">
        <fgColor rgb="FFFFF2CC"/>
      </patternFill>
    </fill>
    <fill>
      <patternFill patternType="solid">
        <fgColor rgb="FFE7E6E6"/>
      </patternFill>
    </fill>
    <fill>
      <patternFill patternType="solid">
        <fgColor rgb="FFE2F0D9"/>
      </patternFill>
    </fill>
  </fills>
  <borders count="28">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0" fontId="6" fillId="2" borderId="0" applyNumberFormat="0" applyBorder="0" applyAlignment="0" applyProtection="0"/>
    <xf numFmtId="9" fontId="6" fillId="0" borderId="0" applyFont="0" applyFill="0" applyBorder="0" applyAlignment="0" applyProtection="0"/>
  </cellStyleXfs>
  <cellXfs count="236">
    <xf numFmtId="0" fontId="0" fillId="0" borderId="0" xfId="0"/>
    <xf numFmtId="0" fontId="0" fillId="0" borderId="0" xfId="0" applyAlignment="1">
      <alignment horizontal="center"/>
    </xf>
    <xf numFmtId="0" fontId="0" fillId="0" borderId="0" xfId="0" applyAlignment="1">
      <alignment wrapText="1"/>
    </xf>
    <xf numFmtId="0" fontId="0" fillId="0" borderId="2" xfId="0" applyBorder="1"/>
    <xf numFmtId="0" fontId="0" fillId="0" borderId="3" xfId="1" applyFont="1" applyFill="1" applyBorder="1" applyAlignment="1">
      <alignment horizontal="center" vertical="center"/>
    </xf>
    <xf numFmtId="0" fontId="2" fillId="0" borderId="0" xfId="0" applyFont="1"/>
    <xf numFmtId="0" fontId="2" fillId="0" borderId="3" xfId="1" applyFont="1" applyFill="1" applyBorder="1" applyAlignment="1">
      <alignment vertical="center"/>
    </xf>
    <xf numFmtId="14" fontId="6" fillId="0" borderId="3" xfId="1" applyNumberFormat="1" applyFill="1" applyBorder="1" applyAlignment="1">
      <alignment horizontal="center" vertical="center"/>
    </xf>
    <xf numFmtId="0" fontId="0" fillId="0" borderId="3" xfId="1" applyFont="1" applyFill="1" applyBorder="1" applyAlignment="1">
      <alignment horizontal="left" vertical="center"/>
    </xf>
    <xf numFmtId="0" fontId="0" fillId="0" borderId="3" xfId="1" applyFont="1" applyFill="1" applyBorder="1" applyAlignment="1">
      <alignment horizontal="left" vertical="center" wrapText="1"/>
    </xf>
    <xf numFmtId="0" fontId="0" fillId="0" borderId="0" xfId="0" applyAlignment="1">
      <alignment horizontal="right" wrapText="1"/>
    </xf>
    <xf numFmtId="1" fontId="0" fillId="0" borderId="4" xfId="0" applyNumberFormat="1" applyBorder="1"/>
    <xf numFmtId="0" fontId="0" fillId="0" borderId="5" xfId="0" applyBorder="1" applyAlignment="1">
      <alignment horizontal="center"/>
    </xf>
    <xf numFmtId="1" fontId="0" fillId="0" borderId="6" xfId="0" applyNumberFormat="1" applyBorder="1"/>
    <xf numFmtId="0" fontId="0" fillId="0" borderId="7" xfId="0" applyBorder="1" applyAlignment="1">
      <alignment horizontal="center"/>
    </xf>
    <xf numFmtId="1" fontId="0" fillId="0" borderId="8" xfId="0" applyNumberFormat="1" applyBorder="1"/>
    <xf numFmtId="0" fontId="0" fillId="0" borderId="9" xfId="0" applyBorder="1" applyAlignment="1">
      <alignment horizontal="center"/>
    </xf>
    <xf numFmtId="0" fontId="0" fillId="3" borderId="3" xfId="0" applyFill="1" applyBorder="1" applyAlignment="1">
      <alignment horizontal="center" vertical="center"/>
    </xf>
    <xf numFmtId="0" fontId="4" fillId="0" borderId="0" xfId="0" applyFont="1"/>
    <xf numFmtId="0" fontId="6" fillId="0" borderId="0" xfId="1" applyFill="1" applyBorder="1"/>
    <xf numFmtId="0" fontId="0" fillId="0" borderId="3" xfId="0" applyBorder="1" applyAlignment="1">
      <alignment vertical="center"/>
    </xf>
    <xf numFmtId="0" fontId="0" fillId="0" borderId="3" xfId="0" applyBorder="1" applyAlignment="1">
      <alignment horizontal="left" vertical="center" wrapText="1"/>
    </xf>
    <xf numFmtId="14" fontId="0" fillId="0" borderId="3" xfId="0" applyNumberFormat="1" applyBorder="1" applyAlignment="1">
      <alignment horizontal="center" vertical="center"/>
    </xf>
    <xf numFmtId="0" fontId="2" fillId="0" borderId="3" xfId="0" applyFont="1" applyBorder="1" applyAlignment="1">
      <alignment vertical="center"/>
    </xf>
    <xf numFmtId="0" fontId="0" fillId="0" borderId="3" xfId="0" applyBorder="1"/>
    <xf numFmtId="0" fontId="3" fillId="0" borderId="3" xfId="0" applyFont="1" applyBorder="1" applyAlignment="1">
      <alignment vertical="center" wrapText="1"/>
    </xf>
    <xf numFmtId="0" fontId="1" fillId="0" borderId="0" xfId="0" applyFont="1" applyAlignment="1">
      <alignment vertical="center" wrapText="1"/>
    </xf>
    <xf numFmtId="0" fontId="0" fillId="0" borderId="0" xfId="0" applyAlignment="1">
      <alignment vertical="center"/>
    </xf>
    <xf numFmtId="0" fontId="0" fillId="0" borderId="0" xfId="0" applyAlignment="1">
      <alignment horizontal="right"/>
    </xf>
    <xf numFmtId="0" fontId="0" fillId="0" borderId="0" xfId="0" applyAlignment="1">
      <alignment horizontal="left"/>
    </xf>
    <xf numFmtId="0" fontId="2" fillId="0" borderId="0" xfId="0" applyFont="1" applyAlignment="1">
      <alignment vertical="center"/>
    </xf>
    <xf numFmtId="0" fontId="0" fillId="0" borderId="0" xfId="0" applyAlignment="1">
      <alignment vertical="top" wrapText="1"/>
    </xf>
    <xf numFmtId="0" fontId="0" fillId="0" borderId="1" xfId="0" applyBorder="1"/>
    <xf numFmtId="0" fontId="0" fillId="3" borderId="3" xfId="0" applyFill="1" applyBorder="1" applyAlignment="1">
      <alignment vertical="center"/>
    </xf>
    <xf numFmtId="14" fontId="0" fillId="3" borderId="3" xfId="0" applyNumberFormat="1" applyFill="1" applyBorder="1" applyAlignment="1">
      <alignment horizontal="center" vertical="center"/>
    </xf>
    <xf numFmtId="0" fontId="0" fillId="3" borderId="3" xfId="1" applyFont="1" applyFill="1" applyBorder="1" applyAlignment="1">
      <alignment horizontal="left" vertical="center" wrapText="1"/>
    </xf>
    <xf numFmtId="0" fontId="3" fillId="3" borderId="3" xfId="0" applyFont="1" applyFill="1" applyBorder="1" applyAlignment="1">
      <alignment vertical="center" wrapText="1"/>
    </xf>
    <xf numFmtId="0" fontId="0" fillId="3" borderId="3" xfId="1" applyFont="1" applyFill="1" applyBorder="1" applyAlignment="1">
      <alignment vertical="center"/>
    </xf>
    <xf numFmtId="0" fontId="8" fillId="3" borderId="3" xfId="0" applyFont="1" applyFill="1" applyBorder="1" applyAlignment="1">
      <alignment vertical="center"/>
    </xf>
    <xf numFmtId="0" fontId="0" fillId="3" borderId="3" xfId="1" applyFont="1" applyFill="1" applyBorder="1" applyAlignment="1">
      <alignment horizontal="left" vertical="center"/>
    </xf>
    <xf numFmtId="0" fontId="0" fillId="3" borderId="3" xfId="0" applyFill="1" applyBorder="1" applyAlignment="1">
      <alignment vertical="center" wrapText="1"/>
    </xf>
    <xf numFmtId="0" fontId="9" fillId="0" borderId="3" xfId="1" applyFont="1" applyFill="1" applyBorder="1" applyAlignment="1">
      <alignment vertical="center"/>
    </xf>
    <xf numFmtId="9" fontId="0" fillId="0" borderId="0" xfId="2" applyFont="1"/>
    <xf numFmtId="0" fontId="0" fillId="0" borderId="3" xfId="0" applyBorder="1" applyAlignment="1">
      <alignment vertical="center" wrapText="1"/>
    </xf>
    <xf numFmtId="0" fontId="9" fillId="0" borderId="3" xfId="0" applyFont="1" applyBorder="1" applyAlignment="1">
      <alignment vertical="center" wrapText="1"/>
    </xf>
    <xf numFmtId="0" fontId="7" fillId="0" borderId="0" xfId="0" applyFont="1" applyAlignment="1">
      <alignment horizontal="center" vertical="center" wrapText="1"/>
    </xf>
    <xf numFmtId="0" fontId="0" fillId="0" borderId="0" xfId="1" applyFont="1" applyFill="1" applyBorder="1" applyAlignment="1">
      <alignment horizontal="center" vertical="center" wrapText="1"/>
    </xf>
    <xf numFmtId="0" fontId="6" fillId="0" borderId="0" xfId="1" applyFill="1" applyBorder="1" applyAlignment="1">
      <alignment horizontal="center" vertical="center"/>
    </xf>
    <xf numFmtId="0" fontId="7" fillId="0" borderId="0" xfId="0" applyFont="1" applyAlignment="1">
      <alignment horizontal="left" vertical="center" wrapText="1"/>
    </xf>
    <xf numFmtId="0" fontId="2" fillId="0" borderId="15" xfId="0" applyFont="1" applyBorder="1" applyAlignment="1">
      <alignment vertical="center"/>
    </xf>
    <xf numFmtId="14" fontId="0" fillId="0" borderId="15" xfId="0" applyNumberFormat="1" applyBorder="1" applyAlignment="1">
      <alignment horizontal="center" vertical="center"/>
    </xf>
    <xf numFmtId="0" fontId="0" fillId="3" borderId="17" xfId="0" applyFill="1" applyBorder="1" applyAlignment="1">
      <alignment vertical="center"/>
    </xf>
    <xf numFmtId="14" fontId="0" fillId="3" borderId="17" xfId="0" applyNumberFormat="1" applyFill="1" applyBorder="1" applyAlignment="1">
      <alignment horizontal="center" vertical="center"/>
    </xf>
    <xf numFmtId="0" fontId="0" fillId="3" borderId="17" xfId="0" applyFill="1" applyBorder="1" applyAlignment="1">
      <alignment horizontal="left" vertical="center" wrapText="1"/>
    </xf>
    <xf numFmtId="0" fontId="0" fillId="3" borderId="17" xfId="0" applyFill="1" applyBorder="1" applyAlignment="1">
      <alignment horizontal="left" vertical="center"/>
    </xf>
    <xf numFmtId="0" fontId="0" fillId="0" borderId="17" xfId="0" applyBorder="1" applyAlignment="1">
      <alignment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7" xfId="1" applyFont="1" applyFill="1" applyBorder="1" applyAlignment="1">
      <alignment horizontal="left" vertical="center" wrapText="1"/>
    </xf>
    <xf numFmtId="0" fontId="0" fillId="0" borderId="17" xfId="0" applyBorder="1" applyAlignment="1">
      <alignment horizontal="left" vertical="center" wrapText="1"/>
    </xf>
    <xf numFmtId="0" fontId="2" fillId="0" borderId="19" xfId="0" applyFont="1" applyBorder="1" applyAlignment="1">
      <alignment vertical="center"/>
    </xf>
    <xf numFmtId="0" fontId="0" fillId="0" borderId="19" xfId="0" applyBorder="1" applyAlignment="1">
      <alignment horizontal="left" vertical="center"/>
    </xf>
    <xf numFmtId="0" fontId="0" fillId="0" borderId="17" xfId="1" applyFont="1" applyFill="1" applyBorder="1" applyAlignment="1">
      <alignment horizontal="center" vertical="center"/>
    </xf>
    <xf numFmtId="0" fontId="0" fillId="0" borderId="17" xfId="1" applyFont="1" applyFill="1" applyBorder="1" applyAlignment="1">
      <alignment horizontal="left" vertical="center"/>
    </xf>
    <xf numFmtId="0" fontId="0" fillId="0" borderId="15" xfId="0" applyBorder="1" applyAlignment="1">
      <alignment vertical="center"/>
    </xf>
    <xf numFmtId="0" fontId="0" fillId="3" borderId="19" xfId="0" applyFill="1" applyBorder="1" applyAlignment="1">
      <alignment vertical="center"/>
    </xf>
    <xf numFmtId="0" fontId="0" fillId="3" borderId="19" xfId="1" applyFont="1" applyFill="1" applyBorder="1" applyAlignment="1">
      <alignment horizontal="left" vertical="center" wrapText="1"/>
    </xf>
    <xf numFmtId="0" fontId="0" fillId="0" borderId="19" xfId="0" applyBorder="1" applyAlignment="1">
      <alignment vertical="center"/>
    </xf>
    <xf numFmtId="0" fontId="2" fillId="0" borderId="17" xfId="0" applyFont="1" applyBorder="1" applyAlignment="1">
      <alignment vertical="center"/>
    </xf>
    <xf numFmtId="0" fontId="0" fillId="3" borderId="19" xfId="1" applyFont="1" applyFill="1" applyBorder="1" applyAlignment="1">
      <alignment horizontal="left" vertical="center"/>
    </xf>
    <xf numFmtId="0" fontId="0" fillId="3" borderId="19" xfId="0" applyFill="1" applyBorder="1" applyAlignment="1">
      <alignment vertical="center" wrapText="1"/>
    </xf>
    <xf numFmtId="0" fontId="9" fillId="0" borderId="17" xfId="1" applyFont="1" applyFill="1" applyBorder="1" applyAlignment="1">
      <alignment vertical="center"/>
    </xf>
    <xf numFmtId="0" fontId="0" fillId="0" borderId="15" xfId="1" applyFont="1" applyFill="1" applyBorder="1" applyAlignment="1">
      <alignment horizontal="center" vertical="center"/>
    </xf>
    <xf numFmtId="0" fontId="5" fillId="0" borderId="15" xfId="0" applyFont="1" applyBorder="1" applyAlignment="1">
      <alignment horizontal="left" vertical="center"/>
    </xf>
    <xf numFmtId="14" fontId="6" fillId="0" borderId="19" xfId="1" applyNumberFormat="1" applyFill="1" applyBorder="1" applyAlignment="1">
      <alignment horizontal="center" vertical="center"/>
    </xf>
    <xf numFmtId="0" fontId="0" fillId="0" borderId="19" xfId="1" applyFont="1" applyFill="1" applyBorder="1" applyAlignment="1">
      <alignment horizontal="center" vertical="center"/>
    </xf>
    <xf numFmtId="0" fontId="5" fillId="0" borderId="19" xfId="0" applyFont="1" applyBorder="1" applyAlignment="1">
      <alignment horizontal="left" vertical="center"/>
    </xf>
    <xf numFmtId="14" fontId="6" fillId="3" borderId="19" xfId="1" applyNumberFormat="1" applyFill="1" applyBorder="1" applyAlignment="1">
      <alignment horizontal="center" vertical="center"/>
    </xf>
    <xf numFmtId="0" fontId="0" fillId="3" borderId="19" xfId="1" applyFont="1" applyFill="1" applyBorder="1" applyAlignment="1">
      <alignment horizontal="center" vertical="center"/>
    </xf>
    <xf numFmtId="0" fontId="9" fillId="3" borderId="19" xfId="1" applyFont="1" applyFill="1" applyBorder="1" applyAlignment="1">
      <alignment vertical="center"/>
    </xf>
    <xf numFmtId="0" fontId="0" fillId="3" borderId="17" xfId="0" applyFill="1" applyBorder="1" applyAlignment="1">
      <alignment horizontal="center" vertical="center"/>
    </xf>
    <xf numFmtId="0" fontId="3" fillId="3" borderId="17" xfId="0" applyFont="1" applyFill="1" applyBorder="1" applyAlignment="1">
      <alignment vertical="center" wrapText="1"/>
    </xf>
    <xf numFmtId="0" fontId="0" fillId="3" borderId="17" xfId="1" applyFont="1" applyFill="1" applyBorder="1" applyAlignment="1">
      <alignment vertical="center"/>
    </xf>
    <xf numFmtId="14" fontId="0" fillId="0" borderId="19" xfId="0" applyNumberFormat="1" applyBorder="1" applyAlignment="1">
      <alignment horizontal="left" vertical="center" wrapText="1"/>
    </xf>
    <xf numFmtId="14" fontId="0" fillId="0" borderId="19" xfId="0" applyNumberFormat="1" applyBorder="1" applyAlignment="1">
      <alignment horizontal="left" vertical="center"/>
    </xf>
    <xf numFmtId="14" fontId="9" fillId="0" borderId="19" xfId="0" applyNumberFormat="1" applyFont="1" applyBorder="1" applyAlignment="1">
      <alignment horizontal="left" vertical="center" wrapText="1"/>
    </xf>
    <xf numFmtId="0" fontId="2" fillId="0" borderId="17" xfId="0" applyFont="1" applyBorder="1" applyAlignment="1">
      <alignment horizontal="left" vertical="center" wrapText="1"/>
    </xf>
    <xf numFmtId="0" fontId="9" fillId="0" borderId="17" xfId="0" applyFont="1" applyBorder="1" applyAlignment="1">
      <alignment vertical="center" wrapText="1"/>
    </xf>
    <xf numFmtId="0" fontId="0" fillId="0" borderId="17" xfId="0" applyBorder="1" applyAlignment="1">
      <alignment vertical="center" wrapText="1"/>
    </xf>
    <xf numFmtId="0" fontId="3" fillId="0" borderId="15" xfId="0" applyFont="1" applyBorder="1" applyAlignment="1">
      <alignment vertical="center" wrapText="1"/>
    </xf>
    <xf numFmtId="0" fontId="0" fillId="0" borderId="15" xfId="0" applyBorder="1"/>
    <xf numFmtId="0" fontId="8" fillId="3" borderId="19" xfId="0" applyFont="1" applyFill="1" applyBorder="1" applyAlignment="1">
      <alignment vertical="center"/>
    </xf>
    <xf numFmtId="0" fontId="0" fillId="3" borderId="19" xfId="1" applyFont="1" applyFill="1" applyBorder="1" applyAlignment="1">
      <alignment vertical="center" wrapText="1"/>
    </xf>
    <xf numFmtId="14" fontId="6" fillId="0" borderId="17" xfId="1" applyNumberFormat="1" applyFill="1" applyBorder="1" applyAlignment="1">
      <alignment horizontal="center" vertical="center"/>
    </xf>
    <xf numFmtId="0" fontId="0" fillId="3" borderId="17" xfId="1" applyFont="1" applyFill="1" applyBorder="1" applyAlignment="1">
      <alignment vertical="center" wrapText="1"/>
    </xf>
    <xf numFmtId="0" fontId="0" fillId="0" borderId="17" xfId="0" applyBorder="1" applyAlignment="1">
      <alignment wrapText="1"/>
    </xf>
    <xf numFmtId="0" fontId="0" fillId="0" borderId="17" xfId="0" applyBorder="1"/>
    <xf numFmtId="0" fontId="6" fillId="3" borderId="18" xfId="1" applyFill="1" applyBorder="1" applyAlignment="1">
      <alignment horizontal="center" vertical="center" wrapText="1"/>
    </xf>
    <xf numFmtId="0" fontId="6" fillId="3" borderId="18" xfId="1" applyFill="1" applyBorder="1" applyAlignment="1">
      <alignment horizontal="center" vertical="center"/>
    </xf>
    <xf numFmtId="10" fontId="0" fillId="0" borderId="0" xfId="0" applyNumberFormat="1"/>
    <xf numFmtId="9" fontId="2" fillId="0" borderId="0" xfId="0" applyNumberFormat="1" applyFont="1"/>
    <xf numFmtId="0" fontId="0" fillId="0" borderId="20" xfId="0" applyBorder="1" applyAlignment="1">
      <alignment horizontal="center" vertical="center" wrapText="1"/>
    </xf>
    <xf numFmtId="0" fontId="0" fillId="0" borderId="14" xfId="0" applyBorder="1" applyAlignment="1">
      <alignment horizontal="center" vertical="center" wrapText="1"/>
    </xf>
    <xf numFmtId="0" fontId="0" fillId="0" borderId="21" xfId="0" applyBorder="1" applyAlignment="1">
      <alignment horizontal="center" vertical="center" wrapText="1"/>
    </xf>
    <xf numFmtId="0" fontId="0" fillId="3" borderId="18" xfId="0" applyFill="1" applyBorder="1" applyAlignment="1">
      <alignment horizontal="left" vertical="center" wrapText="1"/>
    </xf>
    <xf numFmtId="0" fontId="0" fillId="3" borderId="18" xfId="0" applyFill="1" applyBorder="1" applyAlignment="1">
      <alignment horizontal="center" vertical="center" wrapText="1"/>
    </xf>
    <xf numFmtId="0" fontId="0" fillId="3" borderId="18" xfId="0" applyFill="1" applyBorder="1" applyAlignment="1">
      <alignment horizontal="center" vertical="center"/>
    </xf>
    <xf numFmtId="0" fontId="6" fillId="3" borderId="19" xfId="1" applyFill="1" applyBorder="1" applyAlignment="1">
      <alignment horizontal="center" vertical="center"/>
    </xf>
    <xf numFmtId="0" fontId="6" fillId="3" borderId="3" xfId="1" applyFill="1" applyBorder="1" applyAlignment="1">
      <alignment horizontal="center" vertical="center"/>
    </xf>
    <xf numFmtId="0" fontId="6" fillId="3" borderId="17" xfId="1" applyFill="1" applyBorder="1" applyAlignment="1">
      <alignment horizontal="center" vertical="center"/>
    </xf>
    <xf numFmtId="0" fontId="0" fillId="0" borderId="3" xfId="1" applyFont="1" applyFill="1" applyBorder="1" applyAlignment="1">
      <alignment horizontal="center" vertical="center" wrapText="1"/>
    </xf>
    <xf numFmtId="0" fontId="0" fillId="0" borderId="17" xfId="1" applyFont="1" applyFill="1" applyBorder="1" applyAlignment="1">
      <alignment horizontal="center" vertical="center" wrapText="1"/>
    </xf>
    <xf numFmtId="0" fontId="6" fillId="0" borderId="3" xfId="1" applyFill="1" applyBorder="1" applyAlignment="1">
      <alignment horizontal="center" vertical="center"/>
    </xf>
    <xf numFmtId="0" fontId="6" fillId="0" borderId="17" xfId="1" applyFill="1" applyBorder="1" applyAlignment="1">
      <alignment horizontal="center" vertical="center"/>
    </xf>
    <xf numFmtId="0" fontId="6" fillId="0" borderId="19" xfId="1" applyFill="1" applyBorder="1" applyAlignment="1">
      <alignment horizontal="center" vertical="center"/>
    </xf>
    <xf numFmtId="0" fontId="6" fillId="0" borderId="19" xfId="1" applyFill="1" applyBorder="1" applyAlignment="1">
      <alignment horizontal="center" vertical="center" wrapText="1"/>
    </xf>
    <xf numFmtId="0" fontId="6" fillId="0" borderId="3" xfId="1" applyFill="1" applyBorder="1" applyAlignment="1">
      <alignment horizontal="center" vertical="center" wrapText="1"/>
    </xf>
    <xf numFmtId="0" fontId="6" fillId="0" borderId="17" xfId="1" applyFill="1" applyBorder="1" applyAlignment="1">
      <alignment horizontal="center" vertical="center" wrapText="1"/>
    </xf>
    <xf numFmtId="0" fontId="6" fillId="3" borderId="19" xfId="1" applyFill="1" applyBorder="1" applyAlignment="1">
      <alignment horizontal="center" vertical="center" wrapText="1"/>
    </xf>
    <xf numFmtId="0" fontId="6" fillId="3" borderId="3" xfId="1" applyFill="1" applyBorder="1" applyAlignment="1">
      <alignment horizontal="center" vertical="center" wrapText="1"/>
    </xf>
    <xf numFmtId="0" fontId="6" fillId="3" borderId="17" xfId="1" applyFill="1" applyBorder="1" applyAlignment="1">
      <alignment horizontal="center" vertical="center" wrapText="1"/>
    </xf>
    <xf numFmtId="0" fontId="6" fillId="0" borderId="15" xfId="1" applyFill="1" applyBorder="1" applyAlignment="1">
      <alignment horizontal="center" vertical="center"/>
    </xf>
    <xf numFmtId="0" fontId="0" fillId="3" borderId="19" xfId="0" applyFill="1" applyBorder="1" applyAlignment="1">
      <alignment horizontal="center" vertical="center" wrapText="1"/>
    </xf>
    <xf numFmtId="0" fontId="0" fillId="3" borderId="3" xfId="0" applyFill="1" applyBorder="1" applyAlignment="1">
      <alignment horizontal="center" vertical="center" wrapText="1"/>
    </xf>
    <xf numFmtId="0" fontId="0" fillId="3" borderId="13" xfId="0" applyFill="1" applyBorder="1" applyAlignment="1">
      <alignment horizontal="center" vertical="center" wrapText="1"/>
    </xf>
    <xf numFmtId="0" fontId="7" fillId="3" borderId="18" xfId="0" applyFont="1" applyFill="1" applyBorder="1" applyAlignment="1">
      <alignment horizontal="left" vertical="center" wrapText="1"/>
    </xf>
    <xf numFmtId="14" fontId="10" fillId="0" borderId="0" xfId="0" applyNumberFormat="1" applyFont="1" applyAlignment="1">
      <alignment vertical="center"/>
    </xf>
    <xf numFmtId="0" fontId="10" fillId="0" borderId="0" xfId="0" applyFont="1"/>
    <xf numFmtId="0" fontId="10" fillId="0" borderId="0" xfId="1" applyFont="1" applyFill="1" applyBorder="1"/>
    <xf numFmtId="0" fontId="11" fillId="0" borderId="0" xfId="0" applyFont="1" applyAlignment="1">
      <alignment vertical="center" wrapText="1"/>
    </xf>
    <xf numFmtId="0" fontId="13" fillId="3" borderId="3" xfId="0" applyFont="1" applyFill="1" applyBorder="1" applyAlignment="1">
      <alignment horizontal="center" vertical="center" wrapText="1"/>
    </xf>
    <xf numFmtId="0" fontId="13" fillId="3" borderId="3" xfId="0" applyFont="1" applyFill="1" applyBorder="1" applyAlignment="1">
      <alignment horizontal="left" vertical="center" wrapText="1"/>
    </xf>
    <xf numFmtId="0" fontId="13" fillId="3" borderId="3" xfId="0" applyFont="1" applyFill="1" applyBorder="1" applyAlignment="1">
      <alignment vertical="center" wrapText="1"/>
    </xf>
    <xf numFmtId="0" fontId="13" fillId="0" borderId="16" xfId="0" applyFont="1" applyBorder="1" applyAlignment="1">
      <alignment horizontal="left" vertical="center" wrapText="1"/>
    </xf>
    <xf numFmtId="14" fontId="13" fillId="3" borderId="3" xfId="0" applyNumberFormat="1" applyFont="1" applyFill="1" applyBorder="1" applyAlignment="1">
      <alignment horizontal="center" vertical="center" wrapText="1"/>
    </xf>
    <xf numFmtId="0" fontId="12" fillId="4" borderId="3"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6" borderId="15"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5" borderId="19"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7" borderId="17" xfId="0" applyFont="1" applyFill="1" applyBorder="1" applyAlignment="1">
      <alignment horizontal="center" vertical="center" wrapText="1"/>
    </xf>
    <xf numFmtId="0" fontId="16" fillId="5" borderId="3" xfId="0" applyFont="1" applyFill="1" applyBorder="1" applyAlignment="1">
      <alignment horizontal="left" vertical="center" wrapText="1"/>
    </xf>
    <xf numFmtId="0" fontId="16" fillId="6" borderId="17" xfId="0" applyFont="1" applyFill="1" applyBorder="1" applyAlignment="1">
      <alignment horizontal="left" vertical="center" wrapText="1"/>
    </xf>
    <xf numFmtId="0" fontId="16" fillId="6" borderId="15" xfId="0" applyFont="1" applyFill="1" applyBorder="1" applyAlignment="1">
      <alignment horizontal="left" vertical="center" wrapText="1"/>
    </xf>
    <xf numFmtId="0" fontId="16" fillId="6" borderId="15" xfId="0" applyFont="1" applyFill="1" applyBorder="1" applyAlignment="1">
      <alignment vertical="center" wrapText="1"/>
    </xf>
    <xf numFmtId="0" fontId="16" fillId="5" borderId="17" xfId="0" applyFont="1" applyFill="1" applyBorder="1" applyAlignment="1">
      <alignment horizontal="left" vertical="center" wrapText="1"/>
    </xf>
    <xf numFmtId="0" fontId="16" fillId="6" borderId="19" xfId="0" applyFont="1" applyFill="1" applyBorder="1" applyAlignment="1">
      <alignment horizontal="left" vertical="center" wrapText="1"/>
    </xf>
    <xf numFmtId="0" fontId="16" fillId="6" borderId="3" xfId="0" applyFont="1" applyFill="1" applyBorder="1" applyAlignment="1">
      <alignment horizontal="left" vertical="center" wrapText="1"/>
    </xf>
    <xf numFmtId="0" fontId="16" fillId="5" borderId="19" xfId="0" applyFont="1" applyFill="1" applyBorder="1" applyAlignment="1">
      <alignment horizontal="left" vertical="center" wrapText="1"/>
    </xf>
    <xf numFmtId="0" fontId="16" fillId="5" borderId="10" xfId="0" applyFont="1" applyFill="1" applyBorder="1" applyAlignment="1">
      <alignment horizontal="left" vertical="center" wrapText="1"/>
    </xf>
    <xf numFmtId="0" fontId="16" fillId="5" borderId="11" xfId="0" applyFont="1" applyFill="1" applyBorder="1" applyAlignment="1">
      <alignment horizontal="left" vertical="center" wrapText="1"/>
    </xf>
    <xf numFmtId="0" fontId="16" fillId="5" borderId="17" xfId="0" applyFont="1" applyFill="1" applyBorder="1" applyAlignment="1">
      <alignment horizontal="center" vertical="center" wrapText="1"/>
    </xf>
    <xf numFmtId="0" fontId="16" fillId="6" borderId="19" xfId="0" applyFont="1" applyFill="1" applyBorder="1" applyAlignment="1">
      <alignment vertical="center" wrapText="1"/>
    </xf>
    <xf numFmtId="0" fontId="16" fillId="6" borderId="3" xfId="0" applyFont="1" applyFill="1" applyBorder="1" applyAlignment="1">
      <alignment vertical="center" wrapText="1"/>
    </xf>
    <xf numFmtId="0" fontId="16" fillId="5" borderId="17" xfId="0" applyFont="1" applyFill="1" applyBorder="1" applyAlignment="1">
      <alignment vertical="center" wrapText="1"/>
    </xf>
    <xf numFmtId="0" fontId="16" fillId="5" borderId="19" xfId="0" applyFont="1" applyFill="1" applyBorder="1" applyAlignment="1">
      <alignment vertical="center" wrapText="1"/>
    </xf>
    <xf numFmtId="0" fontId="16" fillId="6" borderId="25" xfId="0" applyFont="1" applyFill="1" applyBorder="1" applyAlignment="1">
      <alignment horizontal="left" vertical="center" wrapText="1"/>
    </xf>
    <xf numFmtId="0" fontId="16" fillId="6" borderId="26" xfId="0" applyFont="1" applyFill="1" applyBorder="1" applyAlignment="1">
      <alignment horizontal="left" vertical="center" wrapText="1"/>
    </xf>
    <xf numFmtId="0" fontId="17" fillId="5" borderId="3" xfId="0" applyFont="1" applyFill="1" applyBorder="1" applyAlignment="1">
      <alignment horizontal="left" vertical="center" wrapText="1"/>
    </xf>
    <xf numFmtId="0" fontId="17" fillId="6" borderId="17" xfId="0" applyFont="1" applyFill="1" applyBorder="1" applyAlignment="1">
      <alignment horizontal="left" vertical="center" wrapText="1"/>
    </xf>
    <xf numFmtId="0" fontId="17" fillId="6" borderId="15" xfId="0" applyFont="1" applyFill="1" applyBorder="1" applyAlignment="1">
      <alignment horizontal="left" vertical="center" wrapText="1"/>
    </xf>
    <xf numFmtId="0" fontId="17" fillId="5" borderId="17" xfId="0" applyFont="1" applyFill="1" applyBorder="1" applyAlignment="1">
      <alignment horizontal="left" vertical="center" wrapText="1"/>
    </xf>
    <xf numFmtId="0" fontId="17" fillId="6" borderId="19" xfId="0" applyFont="1" applyFill="1" applyBorder="1" applyAlignment="1">
      <alignment horizontal="left" vertical="center" wrapText="1"/>
    </xf>
    <xf numFmtId="0" fontId="17" fillId="6" borderId="3" xfId="0" applyFont="1" applyFill="1" applyBorder="1" applyAlignment="1">
      <alignment horizontal="left" vertical="center" wrapText="1"/>
    </xf>
    <xf numFmtId="0" fontId="17" fillId="5" borderId="19" xfId="0" applyFont="1" applyFill="1" applyBorder="1" applyAlignment="1">
      <alignment horizontal="left" vertical="center" wrapText="1"/>
    </xf>
    <xf numFmtId="0" fontId="17" fillId="5" borderId="11" xfId="0" applyFont="1" applyFill="1" applyBorder="1" applyAlignment="1">
      <alignment horizontal="left" vertical="center" wrapText="1"/>
    </xf>
    <xf numFmtId="0" fontId="17" fillId="5" borderId="17" xfId="0" applyFont="1" applyFill="1" applyBorder="1" applyAlignment="1">
      <alignment horizontal="center" vertical="center" wrapText="1"/>
    </xf>
    <xf numFmtId="0" fontId="17" fillId="6" borderId="19" xfId="0" applyFont="1" applyFill="1" applyBorder="1" applyAlignment="1">
      <alignment vertical="center" wrapText="1"/>
    </xf>
    <xf numFmtId="0" fontId="17" fillId="6" borderId="3" xfId="0" applyFont="1" applyFill="1" applyBorder="1" applyAlignment="1">
      <alignment vertical="center" wrapText="1"/>
    </xf>
    <xf numFmtId="0" fontId="17" fillId="5" borderId="17" xfId="0" applyFont="1" applyFill="1" applyBorder="1" applyAlignment="1">
      <alignment vertical="center" wrapText="1"/>
    </xf>
    <xf numFmtId="0" fontId="17" fillId="5" borderId="19" xfId="0" applyFont="1" applyFill="1" applyBorder="1" applyAlignment="1">
      <alignment vertical="center" wrapText="1"/>
    </xf>
    <xf numFmtId="0" fontId="17" fillId="7" borderId="3" xfId="0" applyFont="1" applyFill="1" applyBorder="1" applyAlignment="1">
      <alignment vertical="center" wrapText="1"/>
    </xf>
    <xf numFmtId="0" fontId="17" fillId="7" borderId="17" xfId="0" applyFont="1" applyFill="1" applyBorder="1" applyAlignment="1">
      <alignment vertical="center" wrapText="1"/>
    </xf>
    <xf numFmtId="0" fontId="17" fillId="5" borderId="23" xfId="0" applyFont="1" applyFill="1" applyBorder="1" applyAlignment="1">
      <alignment vertical="center" wrapText="1"/>
    </xf>
    <xf numFmtId="0" fontId="17" fillId="6" borderId="26" xfId="0" applyFont="1" applyFill="1" applyBorder="1" applyAlignment="1">
      <alignment horizontal="left" vertical="center" wrapText="1"/>
    </xf>
    <xf numFmtId="0" fontId="16" fillId="5" borderId="12" xfId="0" applyFont="1" applyFill="1" applyBorder="1" applyAlignment="1">
      <alignment horizontal="left" vertical="center" wrapText="1"/>
    </xf>
    <xf numFmtId="0" fontId="16" fillId="6" borderId="17" xfId="0" applyFont="1" applyFill="1" applyBorder="1" applyAlignment="1">
      <alignment vertical="center" wrapText="1"/>
    </xf>
    <xf numFmtId="0" fontId="16" fillId="5" borderId="24" xfId="0" applyFont="1" applyFill="1" applyBorder="1" applyAlignment="1">
      <alignment vertical="center" wrapText="1"/>
    </xf>
    <xf numFmtId="0" fontId="16" fillId="6" borderId="27" xfId="0" applyFont="1" applyFill="1" applyBorder="1" applyAlignment="1">
      <alignment horizontal="left" vertical="center" wrapText="1"/>
    </xf>
    <xf numFmtId="0" fontId="18" fillId="6" borderId="3" xfId="0" applyFont="1" applyFill="1" applyBorder="1" applyAlignment="1">
      <alignment horizontal="left" vertical="center" wrapText="1"/>
    </xf>
    <xf numFmtId="0" fontId="18" fillId="5" borderId="3" xfId="0" applyFont="1" applyFill="1" applyBorder="1" applyAlignment="1">
      <alignment horizontal="left" vertical="center" wrapText="1"/>
    </xf>
    <xf numFmtId="0" fontId="19" fillId="7" borderId="3" xfId="0" applyFont="1" applyFill="1" applyBorder="1" applyAlignment="1">
      <alignment horizontal="left" vertical="center" wrapText="1"/>
    </xf>
    <xf numFmtId="0" fontId="19" fillId="7" borderId="3" xfId="0" applyFont="1" applyFill="1" applyBorder="1" applyAlignment="1">
      <alignment vertical="center" wrapText="1"/>
    </xf>
    <xf numFmtId="0" fontId="19" fillId="7" borderId="17" xfId="0" applyFont="1" applyFill="1" applyBorder="1" applyAlignment="1">
      <alignment horizontal="left" vertical="center" wrapText="1"/>
    </xf>
    <xf numFmtId="0" fontId="19" fillId="7" borderId="17" xfId="0" applyFont="1" applyFill="1" applyBorder="1" applyAlignment="1">
      <alignment vertical="center" wrapText="1"/>
    </xf>
    <xf numFmtId="0" fontId="18" fillId="5" borderId="17" xfId="0" applyFont="1" applyFill="1" applyBorder="1" applyAlignment="1">
      <alignment horizontal="left" vertical="center" wrapText="1"/>
    </xf>
    <xf numFmtId="0" fontId="18" fillId="5" borderId="19" xfId="0" applyFont="1" applyFill="1" applyBorder="1" applyAlignment="1">
      <alignment horizontal="left" vertical="center" wrapText="1"/>
    </xf>
    <xf numFmtId="0" fontId="18" fillId="6" borderId="17" xfId="0" applyFont="1" applyFill="1" applyBorder="1" applyAlignment="1">
      <alignment horizontal="left" vertical="center" wrapText="1"/>
    </xf>
    <xf numFmtId="0" fontId="18" fillId="5" borderId="17" xfId="0" applyFont="1" applyFill="1" applyBorder="1" applyAlignment="1">
      <alignment horizontal="center" vertical="center" wrapText="1"/>
    </xf>
    <xf numFmtId="0" fontId="18" fillId="5" borderId="17" xfId="0" applyFont="1" applyFill="1" applyBorder="1" applyAlignment="1">
      <alignment vertical="center" wrapText="1"/>
    </xf>
    <xf numFmtId="0" fontId="18" fillId="5" borderId="22" xfId="0" applyFont="1" applyFill="1" applyBorder="1" applyAlignment="1">
      <alignment vertical="center" wrapText="1"/>
    </xf>
    <xf numFmtId="0" fontId="18" fillId="5" borderId="23" xfId="0" applyFont="1" applyFill="1" applyBorder="1" applyAlignment="1">
      <alignment vertical="center" wrapText="1"/>
    </xf>
    <xf numFmtId="0" fontId="15" fillId="0" borderId="0" xfId="0" applyFont="1" applyAlignment="1">
      <alignment horizontal="left" vertical="center" wrapText="1"/>
    </xf>
    <xf numFmtId="0" fontId="13" fillId="0" borderId="0" xfId="0" applyFont="1" applyAlignment="1">
      <alignment horizontal="left" vertical="top" wrapText="1"/>
    </xf>
    <xf numFmtId="0" fontId="12" fillId="4" borderId="3"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14" fontId="13" fillId="5" borderId="3" xfId="0" applyNumberFormat="1" applyFont="1" applyFill="1" applyBorder="1" applyAlignment="1">
      <alignment horizontal="center" vertical="center" wrapText="1"/>
    </xf>
    <xf numFmtId="0" fontId="13" fillId="6" borderId="17" xfId="0" applyFont="1" applyFill="1" applyBorder="1" applyAlignment="1">
      <alignment horizontal="center" vertical="center" wrapText="1"/>
    </xf>
    <xf numFmtId="14" fontId="13" fillId="6" borderId="17" xfId="0" applyNumberFormat="1" applyFont="1" applyFill="1" applyBorder="1" applyAlignment="1">
      <alignment horizontal="center" vertical="center" wrapText="1"/>
    </xf>
    <xf numFmtId="0" fontId="13" fillId="6" borderId="15" xfId="0" applyFont="1" applyFill="1" applyBorder="1" applyAlignment="1">
      <alignment horizontal="center" vertical="center" wrapText="1"/>
    </xf>
    <xf numFmtId="14" fontId="13" fillId="6" borderId="15" xfId="0" applyNumberFormat="1" applyFont="1" applyFill="1" applyBorder="1" applyAlignment="1">
      <alignment horizontal="center" vertical="center" wrapText="1"/>
    </xf>
    <xf numFmtId="0" fontId="12" fillId="5" borderId="17" xfId="0" applyFont="1" applyFill="1" applyBorder="1" applyAlignment="1">
      <alignment horizontal="center" vertical="center" wrapText="1"/>
    </xf>
    <xf numFmtId="0" fontId="13" fillId="5" borderId="17" xfId="0" applyFont="1" applyFill="1" applyBorder="1" applyAlignment="1">
      <alignment horizontal="center" vertical="center" wrapText="1"/>
    </xf>
    <xf numFmtId="14" fontId="13" fillId="5" borderId="17" xfId="0" applyNumberFormat="1" applyFont="1" applyFill="1" applyBorder="1" applyAlignment="1">
      <alignment horizontal="center" vertical="center" wrapText="1"/>
    </xf>
    <xf numFmtId="0" fontId="12" fillId="6" borderId="19" xfId="0" applyFont="1" applyFill="1" applyBorder="1" applyAlignment="1">
      <alignment horizontal="center" vertical="center" wrapText="1"/>
    </xf>
    <xf numFmtId="0" fontId="13" fillId="6" borderId="19" xfId="0" applyFont="1" applyFill="1" applyBorder="1" applyAlignment="1">
      <alignment horizontal="center" vertical="center" wrapText="1"/>
    </xf>
    <xf numFmtId="14" fontId="13" fillId="6" borderId="19" xfId="0" applyNumberFormat="1" applyFont="1" applyFill="1" applyBorder="1" applyAlignment="1">
      <alignment horizontal="center" vertical="center" wrapText="1"/>
    </xf>
    <xf numFmtId="0" fontId="13" fillId="6" borderId="3" xfId="0" applyFont="1" applyFill="1" applyBorder="1" applyAlignment="1">
      <alignment horizontal="center" vertical="center" wrapText="1"/>
    </xf>
    <xf numFmtId="14" fontId="13" fillId="6" borderId="3" xfId="0" applyNumberFormat="1" applyFont="1" applyFill="1" applyBorder="1" applyAlignment="1">
      <alignment horizontal="center" vertical="center" wrapText="1"/>
    </xf>
    <xf numFmtId="0" fontId="12" fillId="5" borderId="19" xfId="0" applyFont="1" applyFill="1" applyBorder="1" applyAlignment="1">
      <alignment horizontal="center" vertical="center" wrapText="1"/>
    </xf>
    <xf numFmtId="0" fontId="13" fillId="5" borderId="19" xfId="0" applyFont="1" applyFill="1" applyBorder="1" applyAlignment="1">
      <alignment horizontal="center" vertical="center" wrapText="1"/>
    </xf>
    <xf numFmtId="14" fontId="13" fillId="5" borderId="19" xfId="0" applyNumberFormat="1" applyFont="1" applyFill="1" applyBorder="1" applyAlignment="1">
      <alignment horizontal="center" vertical="center" wrapText="1"/>
    </xf>
    <xf numFmtId="0" fontId="12" fillId="6" borderId="17" xfId="0" applyFont="1" applyFill="1" applyBorder="1" applyAlignment="1">
      <alignment horizontal="center" vertical="center" wrapText="1"/>
    </xf>
    <xf numFmtId="14" fontId="12" fillId="5" borderId="3" xfId="0" applyNumberFormat="1" applyFont="1" applyFill="1" applyBorder="1" applyAlignment="1">
      <alignment horizontal="center" vertical="center" wrapText="1"/>
    </xf>
    <xf numFmtId="0" fontId="12" fillId="6" borderId="3" xfId="0" applyFont="1" applyFill="1" applyBorder="1" applyAlignment="1">
      <alignment horizontal="center" vertical="center" wrapText="1"/>
    </xf>
    <xf numFmtId="0" fontId="13" fillId="7" borderId="3" xfId="0" applyFont="1" applyFill="1" applyBorder="1" applyAlignment="1">
      <alignment horizontal="center" vertical="center" wrapText="1"/>
    </xf>
    <xf numFmtId="14" fontId="13" fillId="7" borderId="3" xfId="0" applyNumberFormat="1" applyFont="1" applyFill="1" applyBorder="1" applyAlignment="1">
      <alignment horizontal="center" vertical="center" wrapText="1"/>
    </xf>
    <xf numFmtId="0" fontId="13" fillId="7" borderId="17" xfId="0" applyFont="1" applyFill="1" applyBorder="1" applyAlignment="1">
      <alignment horizontal="center" vertical="center" wrapText="1"/>
    </xf>
    <xf numFmtId="14" fontId="13" fillId="7" borderId="17" xfId="0" applyNumberFormat="1" applyFont="1" applyFill="1" applyBorder="1" applyAlignment="1">
      <alignment horizontal="center" vertical="center" wrapText="1"/>
    </xf>
    <xf numFmtId="0" fontId="12" fillId="6" borderId="15"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17" xfId="0" applyFont="1" applyFill="1" applyBorder="1" applyAlignment="1">
      <alignment horizontal="center" vertical="center" wrapText="1"/>
    </xf>
    <xf numFmtId="0" fontId="12" fillId="5" borderId="20" xfId="0" applyFont="1" applyFill="1" applyBorder="1" applyAlignment="1">
      <alignment horizontal="center" vertical="center" wrapText="1"/>
    </xf>
    <xf numFmtId="0" fontId="12" fillId="5" borderId="14" xfId="0" applyFont="1" applyFill="1" applyBorder="1" applyAlignment="1">
      <alignment horizontal="center" vertical="center" wrapText="1"/>
    </xf>
    <xf numFmtId="0" fontId="12" fillId="6" borderId="21" xfId="0" applyFont="1" applyFill="1" applyBorder="1" applyAlignment="1">
      <alignment horizontal="center" vertical="center" wrapText="1"/>
    </xf>
    <xf numFmtId="14" fontId="12" fillId="5" borderId="17" xfId="0" applyNumberFormat="1" applyFont="1" applyFill="1" applyBorder="1" applyAlignment="1">
      <alignment horizontal="center" vertical="center" wrapText="1"/>
    </xf>
    <xf numFmtId="0" fontId="12" fillId="5" borderId="17" xfId="0" applyFont="1" applyFill="1" applyBorder="1" applyAlignment="1">
      <alignment horizontal="left" vertical="center" wrapText="1"/>
    </xf>
    <xf numFmtId="0" fontId="12" fillId="5" borderId="17" xfId="0" applyFont="1" applyFill="1" applyBorder="1" applyAlignment="1">
      <alignment vertical="center" wrapText="1"/>
    </xf>
  </cellXfs>
  <cellStyles count="3">
    <cellStyle name="20% - Accent3" xfId="1" xr:uid="{00000000-0005-0000-0000-000000000000}"/>
    <cellStyle name="Normal" xfId="0" builtinId="0"/>
    <cellStyle name="Percent"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N266"/>
  <sheetViews>
    <sheetView tabSelected="1" topLeftCell="A30" workbookViewId="0">
      <selection activeCell="A5" sqref="A5:XFD5"/>
    </sheetView>
  </sheetViews>
  <sheetFormatPr defaultColWidth="9.08984375" defaultRowHeight="14.5" x14ac:dyDescent="0.35"/>
  <cols>
    <col min="2" max="2" width="22" customWidth="1"/>
    <col min="3" max="3" width="8" customWidth="1"/>
    <col min="4" max="5" width="7" style="27" customWidth="1"/>
    <col min="6" max="6" width="7" style="28" customWidth="1"/>
    <col min="7" max="7" width="7" style="29" customWidth="1"/>
    <col min="8" max="8" width="58" style="27" customWidth="1"/>
    <col min="9" max="9" width="24" customWidth="1"/>
    <col min="10" max="10" width="28" style="32" customWidth="1"/>
    <col min="11" max="11" width="23" customWidth="1"/>
    <col min="14" max="14" width="9.453125" customWidth="1"/>
  </cols>
  <sheetData>
    <row r="1" spans="2:15" ht="17.399999999999999" customHeight="1" x14ac:dyDescent="0.35">
      <c r="B1" s="199" t="s">
        <v>167</v>
      </c>
      <c r="C1" s="199"/>
      <c r="D1" s="199"/>
      <c r="E1" s="199"/>
      <c r="F1" s="199"/>
      <c r="G1" s="199"/>
      <c r="H1" s="199"/>
      <c r="I1" s="199"/>
      <c r="J1" s="199"/>
      <c r="K1" s="199"/>
    </row>
    <row r="2" spans="2:15" ht="24" customHeight="1" x14ac:dyDescent="0.35">
      <c r="B2" s="200" t="s">
        <v>31</v>
      </c>
      <c r="C2" s="200"/>
      <c r="D2" s="200"/>
      <c r="E2" s="200"/>
      <c r="F2" s="200"/>
      <c r="G2" s="200"/>
      <c r="H2" s="200"/>
      <c r="I2" s="200"/>
      <c r="J2" s="200"/>
      <c r="K2" s="200"/>
    </row>
    <row r="3" spans="2:15" ht="12.4" customHeight="1" x14ac:dyDescent="0.35">
      <c r="B3" s="133"/>
      <c r="C3" s="133"/>
      <c r="D3" s="133"/>
      <c r="E3" s="133"/>
      <c r="F3" s="133"/>
      <c r="G3" s="133"/>
      <c r="H3" s="133"/>
      <c r="I3" s="133"/>
      <c r="J3" s="133"/>
      <c r="K3" s="133"/>
    </row>
    <row r="4" spans="2:15" s="18" customFormat="1" ht="21.4" customHeight="1" x14ac:dyDescent="0.35">
      <c r="B4" s="135" t="s">
        <v>32</v>
      </c>
      <c r="C4" s="135" t="s">
        <v>33</v>
      </c>
      <c r="D4" s="201" t="s">
        <v>34</v>
      </c>
      <c r="E4" s="201"/>
      <c r="F4" s="201"/>
      <c r="G4" s="135" t="s">
        <v>35</v>
      </c>
      <c r="H4" s="135" t="s">
        <v>36</v>
      </c>
      <c r="I4" s="135" t="s">
        <v>37</v>
      </c>
      <c r="J4" s="136" t="s">
        <v>38</v>
      </c>
      <c r="K4" s="135" t="s">
        <v>39</v>
      </c>
      <c r="L4"/>
      <c r="M4"/>
      <c r="N4"/>
      <c r="O4"/>
    </row>
    <row r="5" spans="2:15" s="19" customFormat="1" ht="39" x14ac:dyDescent="0.35">
      <c r="B5" s="138" t="s">
        <v>40</v>
      </c>
      <c r="C5" s="138">
        <v>1</v>
      </c>
      <c r="D5" s="202" t="s">
        <v>41</v>
      </c>
      <c r="E5" s="203"/>
      <c r="F5" s="204"/>
      <c r="G5" s="139" t="s">
        <v>42</v>
      </c>
      <c r="H5" s="148" t="s">
        <v>43</v>
      </c>
      <c r="I5" s="148" t="s">
        <v>44</v>
      </c>
      <c r="J5" s="165"/>
      <c r="K5" s="148"/>
      <c r="L5"/>
      <c r="M5"/>
      <c r="N5"/>
      <c r="O5"/>
    </row>
    <row r="6" spans="2:15" ht="28" customHeight="1" x14ac:dyDescent="0.35">
      <c r="B6" s="220" t="s">
        <v>45</v>
      </c>
      <c r="C6" s="220">
        <v>2</v>
      </c>
      <c r="D6" s="205" t="s">
        <v>46</v>
      </c>
      <c r="E6" s="205"/>
      <c r="F6" s="206"/>
      <c r="G6" s="140" t="s">
        <v>47</v>
      </c>
      <c r="H6" s="149" t="s">
        <v>48</v>
      </c>
      <c r="I6" s="149" t="s">
        <v>49</v>
      </c>
      <c r="J6" s="166" t="s">
        <v>50</v>
      </c>
      <c r="K6" s="149" t="s">
        <v>51</v>
      </c>
    </row>
    <row r="7" spans="2:15" ht="28" customHeight="1" x14ac:dyDescent="0.35">
      <c r="B7" s="227"/>
      <c r="C7" s="227"/>
      <c r="D7" s="207" t="s">
        <v>52</v>
      </c>
      <c r="E7" s="207"/>
      <c r="F7" s="208"/>
      <c r="G7" s="141" t="s">
        <v>42</v>
      </c>
      <c r="H7" s="150" t="s">
        <v>53</v>
      </c>
      <c r="I7" s="151" t="s">
        <v>54</v>
      </c>
      <c r="J7" s="167" t="s">
        <v>55</v>
      </c>
      <c r="K7" s="150" t="s">
        <v>56</v>
      </c>
    </row>
    <row r="8" spans="2:15" ht="28" customHeight="1" x14ac:dyDescent="0.35">
      <c r="B8" s="202" t="s">
        <v>57</v>
      </c>
      <c r="C8" s="202">
        <v>3</v>
      </c>
      <c r="D8" s="203" t="s">
        <v>58</v>
      </c>
      <c r="E8" s="203"/>
      <c r="F8" s="204"/>
      <c r="G8" s="139" t="s">
        <v>47</v>
      </c>
      <c r="H8" s="148" t="s">
        <v>59</v>
      </c>
      <c r="I8" s="148" t="s">
        <v>57</v>
      </c>
      <c r="J8" s="165" t="s">
        <v>60</v>
      </c>
      <c r="K8" s="148" t="s">
        <v>61</v>
      </c>
    </row>
    <row r="9" spans="2:15" ht="28" customHeight="1" x14ac:dyDescent="0.35">
      <c r="B9" s="209"/>
      <c r="C9" s="209"/>
      <c r="D9" s="209" t="s">
        <v>62</v>
      </c>
      <c r="E9" s="210"/>
      <c r="F9" s="211"/>
      <c r="G9" s="142" t="s">
        <v>42</v>
      </c>
      <c r="H9" s="152" t="s">
        <v>63</v>
      </c>
      <c r="I9" s="152" t="s">
        <v>64</v>
      </c>
      <c r="J9" s="168" t="s">
        <v>65</v>
      </c>
      <c r="K9" s="152" t="s">
        <v>66</v>
      </c>
    </row>
    <row r="10" spans="2:15" ht="28" customHeight="1" x14ac:dyDescent="0.35">
      <c r="B10" s="212" t="s">
        <v>67</v>
      </c>
      <c r="C10" s="212">
        <v>4</v>
      </c>
      <c r="D10" s="212" t="s">
        <v>68</v>
      </c>
      <c r="E10" s="213"/>
      <c r="F10" s="214"/>
      <c r="G10" s="143" t="s">
        <v>47</v>
      </c>
      <c r="H10" s="153" t="s">
        <v>69</v>
      </c>
      <c r="I10" s="153" t="s">
        <v>70</v>
      </c>
      <c r="J10" s="169" t="s">
        <v>71</v>
      </c>
      <c r="K10" s="153"/>
    </row>
    <row r="11" spans="2:15" s="19" customFormat="1" ht="28" customHeight="1" x14ac:dyDescent="0.35">
      <c r="B11" s="222"/>
      <c r="C11" s="222"/>
      <c r="D11" s="215" t="s">
        <v>72</v>
      </c>
      <c r="E11" s="215"/>
      <c r="F11" s="216"/>
      <c r="G11" s="144" t="s">
        <v>42</v>
      </c>
      <c r="H11" s="186" t="s">
        <v>73</v>
      </c>
      <c r="I11" s="186" t="s">
        <v>74</v>
      </c>
      <c r="J11" s="170"/>
      <c r="K11" s="154"/>
      <c r="L11"/>
      <c r="M11"/>
      <c r="N11"/>
      <c r="O11"/>
    </row>
    <row r="12" spans="2:15" ht="28" customHeight="1" x14ac:dyDescent="0.35">
      <c r="B12" s="209" t="s">
        <v>75</v>
      </c>
      <c r="C12" s="209">
        <v>5</v>
      </c>
      <c r="D12" s="209" t="s">
        <v>76</v>
      </c>
      <c r="E12" s="210"/>
      <c r="F12" s="211"/>
      <c r="G12" s="142" t="s">
        <v>47</v>
      </c>
      <c r="H12" s="192" t="s">
        <v>77</v>
      </c>
      <c r="I12" s="192" t="s">
        <v>75</v>
      </c>
      <c r="J12" s="168"/>
      <c r="K12" s="152"/>
    </row>
    <row r="13" spans="2:15" ht="28" customHeight="1" x14ac:dyDescent="0.35">
      <c r="B13" s="217"/>
      <c r="C13" s="217"/>
      <c r="D13" s="217" t="s">
        <v>78</v>
      </c>
      <c r="E13" s="218"/>
      <c r="F13" s="219"/>
      <c r="G13" s="145" t="s">
        <v>42</v>
      </c>
      <c r="H13" s="155" t="s">
        <v>79</v>
      </c>
      <c r="I13" s="155" t="s">
        <v>80</v>
      </c>
      <c r="J13" s="171"/>
      <c r="K13" s="155"/>
    </row>
    <row r="14" spans="2:15" ht="28" customHeight="1" x14ac:dyDescent="0.35">
      <c r="B14" s="222" t="s">
        <v>81</v>
      </c>
      <c r="C14" s="222">
        <v>6</v>
      </c>
      <c r="D14" s="215" t="s">
        <v>82</v>
      </c>
      <c r="E14" s="215"/>
      <c r="F14" s="216"/>
      <c r="G14" s="144" t="s">
        <v>47</v>
      </c>
      <c r="H14" s="154" t="s">
        <v>83</v>
      </c>
      <c r="I14" s="154" t="s">
        <v>75</v>
      </c>
      <c r="J14" s="170" t="s">
        <v>84</v>
      </c>
      <c r="K14" s="154"/>
    </row>
    <row r="15" spans="2:15" ht="28" customHeight="1" x14ac:dyDescent="0.35">
      <c r="B15" s="220"/>
      <c r="C15" s="220"/>
      <c r="D15" s="220" t="s">
        <v>85</v>
      </c>
      <c r="E15" s="205"/>
      <c r="F15" s="206"/>
      <c r="G15" s="140" t="s">
        <v>42</v>
      </c>
      <c r="H15" s="149" t="s">
        <v>86</v>
      </c>
      <c r="I15" s="149" t="s">
        <v>87</v>
      </c>
      <c r="J15" s="166" t="s">
        <v>88</v>
      </c>
      <c r="K15" s="149" t="s">
        <v>89</v>
      </c>
    </row>
    <row r="16" spans="2:15" ht="28" customHeight="1" x14ac:dyDescent="0.35">
      <c r="B16" s="217" t="s">
        <v>90</v>
      </c>
      <c r="C16" s="217">
        <v>7</v>
      </c>
      <c r="D16" s="218" t="s">
        <v>91</v>
      </c>
      <c r="E16" s="218"/>
      <c r="F16" s="219"/>
      <c r="G16" s="145" t="s">
        <v>47</v>
      </c>
      <c r="H16" s="193" t="s">
        <v>92</v>
      </c>
      <c r="I16" s="193" t="s">
        <v>90</v>
      </c>
      <c r="J16" s="171"/>
      <c r="K16" s="155"/>
    </row>
    <row r="17" spans="2:24" s="19" customFormat="1" ht="28" customHeight="1" x14ac:dyDescent="0.35">
      <c r="B17" s="202"/>
      <c r="C17" s="202"/>
      <c r="D17" s="203" t="s">
        <v>93</v>
      </c>
      <c r="E17" s="203"/>
      <c r="F17" s="221"/>
      <c r="G17" s="138" t="s">
        <v>42</v>
      </c>
      <c r="H17" s="156" t="s">
        <v>94</v>
      </c>
      <c r="I17" s="157" t="s">
        <v>95</v>
      </c>
      <c r="J17" s="172"/>
      <c r="K17" s="182"/>
      <c r="L17"/>
      <c r="M17"/>
      <c r="N17"/>
      <c r="O17"/>
    </row>
    <row r="18" spans="2:24" ht="28" customHeight="1" x14ac:dyDescent="0.35">
      <c r="B18" s="222" t="s">
        <v>96</v>
      </c>
      <c r="C18" s="222">
        <v>8</v>
      </c>
      <c r="D18" s="222" t="s">
        <v>97</v>
      </c>
      <c r="E18" s="215"/>
      <c r="F18" s="216"/>
      <c r="G18" s="144" t="s">
        <v>47</v>
      </c>
      <c r="H18" s="154" t="s">
        <v>98</v>
      </c>
      <c r="I18" s="154" t="s">
        <v>90</v>
      </c>
      <c r="J18" s="170" t="s">
        <v>99</v>
      </c>
      <c r="K18" s="154"/>
    </row>
    <row r="19" spans="2:24" ht="28" customHeight="1" x14ac:dyDescent="0.35">
      <c r="B19" s="220"/>
      <c r="C19" s="220"/>
      <c r="D19" s="205" t="s">
        <v>100</v>
      </c>
      <c r="E19" s="205"/>
      <c r="F19" s="206"/>
      <c r="G19" s="140" t="s">
        <v>42</v>
      </c>
      <c r="H19" s="149" t="s">
        <v>101</v>
      </c>
      <c r="I19" s="149" t="s">
        <v>102</v>
      </c>
      <c r="J19" s="166" t="s">
        <v>103</v>
      </c>
      <c r="K19" s="183" t="s">
        <v>104</v>
      </c>
    </row>
    <row r="20" spans="2:24" ht="28" customHeight="1" x14ac:dyDescent="0.35">
      <c r="B20" s="217" t="s">
        <v>105</v>
      </c>
      <c r="C20" s="217">
        <v>9</v>
      </c>
      <c r="D20" s="218" t="s">
        <v>106</v>
      </c>
      <c r="E20" s="218"/>
      <c r="F20" s="219"/>
      <c r="G20" s="145" t="s">
        <v>47</v>
      </c>
      <c r="H20" s="155" t="s">
        <v>107</v>
      </c>
      <c r="I20" s="155" t="s">
        <v>108</v>
      </c>
      <c r="J20" s="171" t="s">
        <v>109</v>
      </c>
      <c r="K20" s="162"/>
    </row>
    <row r="21" spans="2:24" ht="28" customHeight="1" x14ac:dyDescent="0.35">
      <c r="B21" s="202"/>
      <c r="C21" s="202"/>
      <c r="D21" s="202" t="s">
        <v>110</v>
      </c>
      <c r="E21" s="203"/>
      <c r="F21" s="204"/>
      <c r="G21" s="139" t="s">
        <v>42</v>
      </c>
      <c r="H21" s="187" t="s">
        <v>111</v>
      </c>
      <c r="I21" s="187" t="s">
        <v>112</v>
      </c>
      <c r="J21" s="165"/>
      <c r="K21" s="148"/>
    </row>
    <row r="22" spans="2:24" ht="28" customHeight="1" x14ac:dyDescent="0.35">
      <c r="B22" s="220" t="s">
        <v>113</v>
      </c>
      <c r="C22" s="220">
        <v>10</v>
      </c>
      <c r="D22" s="220" t="s">
        <v>114</v>
      </c>
      <c r="E22" s="205"/>
      <c r="F22" s="206"/>
      <c r="G22" s="140" t="s">
        <v>47</v>
      </c>
      <c r="H22" s="194" t="s">
        <v>115</v>
      </c>
      <c r="I22" s="194" t="s">
        <v>113</v>
      </c>
      <c r="J22" s="166"/>
      <c r="K22" s="149"/>
      <c r="N22" s="126"/>
      <c r="O22" s="127"/>
      <c r="P22" s="127"/>
      <c r="Q22" s="127"/>
      <c r="R22" s="127"/>
      <c r="S22" s="127"/>
      <c r="T22" s="127"/>
      <c r="U22" s="127"/>
      <c r="V22" s="127"/>
      <c r="W22" s="127"/>
      <c r="X22" s="127"/>
    </row>
    <row r="23" spans="2:24" s="19" customFormat="1" ht="28" customHeight="1" x14ac:dyDescent="0.35">
      <c r="B23" s="212"/>
      <c r="C23" s="212"/>
      <c r="D23" s="213" t="s">
        <v>116</v>
      </c>
      <c r="E23" s="213"/>
      <c r="F23" s="214"/>
      <c r="G23" s="143" t="s">
        <v>42</v>
      </c>
      <c r="H23" s="153" t="s">
        <v>117</v>
      </c>
      <c r="I23" s="153" t="s">
        <v>118</v>
      </c>
      <c r="J23" s="169" t="s">
        <v>119</v>
      </c>
      <c r="K23" s="153"/>
      <c r="L23"/>
      <c r="M23"/>
      <c r="N23" s="126"/>
      <c r="O23" s="127"/>
      <c r="P23" s="128"/>
      <c r="Q23" s="128"/>
      <c r="R23" s="128"/>
      <c r="S23" s="128"/>
      <c r="T23" s="128"/>
      <c r="U23" s="128"/>
      <c r="V23" s="128"/>
      <c r="W23" s="128"/>
      <c r="X23" s="128"/>
    </row>
    <row r="24" spans="2:24" s="19" customFormat="1" ht="28" customHeight="1" x14ac:dyDescent="0.35">
      <c r="B24" s="202" t="s">
        <v>120</v>
      </c>
      <c r="C24" s="202">
        <v>11</v>
      </c>
      <c r="D24" s="202" t="s">
        <v>121</v>
      </c>
      <c r="E24" s="203"/>
      <c r="F24" s="204"/>
      <c r="G24" s="139" t="s">
        <v>47</v>
      </c>
      <c r="H24" s="148" t="s">
        <v>122</v>
      </c>
      <c r="I24" s="148" t="s">
        <v>113</v>
      </c>
      <c r="J24" s="165"/>
      <c r="K24" s="148" t="s">
        <v>123</v>
      </c>
      <c r="L24"/>
      <c r="M24"/>
      <c r="N24" s="126"/>
      <c r="O24" s="127"/>
      <c r="P24" s="128"/>
      <c r="Q24" s="128"/>
      <c r="R24" s="128"/>
      <c r="S24" s="128"/>
      <c r="T24" s="128"/>
      <c r="U24" s="128"/>
      <c r="V24" s="128"/>
      <c r="W24" s="128"/>
      <c r="X24" s="128"/>
    </row>
    <row r="25" spans="2:24" ht="28" customHeight="1" x14ac:dyDescent="0.35">
      <c r="B25" s="209"/>
      <c r="C25" s="209"/>
      <c r="D25" s="209" t="s">
        <v>124</v>
      </c>
      <c r="E25" s="210"/>
      <c r="F25" s="211"/>
      <c r="G25" s="142" t="s">
        <v>42</v>
      </c>
      <c r="H25" s="192" t="s">
        <v>125</v>
      </c>
      <c r="I25" s="195" t="s">
        <v>126</v>
      </c>
      <c r="J25" s="173"/>
      <c r="K25" s="158"/>
      <c r="N25" s="126"/>
      <c r="O25" s="127"/>
      <c r="P25" s="127"/>
      <c r="Q25" s="127"/>
      <c r="R25" s="127"/>
      <c r="S25" s="127"/>
      <c r="T25" s="127"/>
      <c r="U25" s="127"/>
      <c r="V25" s="127"/>
      <c r="W25" s="127"/>
      <c r="X25" s="127"/>
    </row>
    <row r="26" spans="2:24" ht="28" customHeight="1" x14ac:dyDescent="0.35">
      <c r="B26" s="212" t="s">
        <v>126</v>
      </c>
      <c r="C26" s="212">
        <v>12</v>
      </c>
      <c r="D26" s="212" t="s">
        <v>127</v>
      </c>
      <c r="E26" s="213"/>
      <c r="F26" s="214"/>
      <c r="G26" s="143" t="s">
        <v>47</v>
      </c>
      <c r="H26" s="153" t="s">
        <v>128</v>
      </c>
      <c r="I26" s="159" t="s">
        <v>129</v>
      </c>
      <c r="J26" s="174" t="s">
        <v>130</v>
      </c>
      <c r="K26" s="159"/>
      <c r="N26" s="126"/>
      <c r="O26" s="127"/>
      <c r="P26" s="127"/>
      <c r="Q26" s="127"/>
      <c r="R26" s="127"/>
      <c r="S26" s="127"/>
      <c r="T26" s="127"/>
      <c r="U26" s="127"/>
      <c r="V26" s="127"/>
      <c r="W26" s="127"/>
      <c r="X26" s="127"/>
    </row>
    <row r="27" spans="2:24" ht="28" customHeight="1" x14ac:dyDescent="0.35">
      <c r="B27" s="222"/>
      <c r="C27" s="222"/>
      <c r="D27" s="222" t="s">
        <v>131</v>
      </c>
      <c r="E27" s="215"/>
      <c r="F27" s="216"/>
      <c r="G27" s="144" t="s">
        <v>42</v>
      </c>
      <c r="H27" s="154" t="s">
        <v>132</v>
      </c>
      <c r="I27" s="160" t="s">
        <v>126</v>
      </c>
      <c r="J27" s="175"/>
      <c r="K27" s="160" t="s">
        <v>133</v>
      </c>
      <c r="N27" s="126"/>
      <c r="O27" s="127"/>
      <c r="P27" s="127"/>
      <c r="Q27" s="127"/>
      <c r="R27" s="127"/>
      <c r="S27" s="127"/>
      <c r="T27" s="127"/>
      <c r="U27" s="127"/>
      <c r="V27" s="127"/>
      <c r="W27" s="127"/>
      <c r="X27" s="127"/>
    </row>
    <row r="28" spans="2:24" ht="28" customHeight="1" x14ac:dyDescent="0.35">
      <c r="B28" s="209" t="s">
        <v>134</v>
      </c>
      <c r="C28" s="209">
        <v>13</v>
      </c>
      <c r="D28" s="210" t="s">
        <v>135</v>
      </c>
      <c r="E28" s="210"/>
      <c r="F28" s="211"/>
      <c r="G28" s="142" t="s">
        <v>47</v>
      </c>
      <c r="H28" s="192" t="s">
        <v>136</v>
      </c>
      <c r="I28" s="196" t="s">
        <v>137</v>
      </c>
      <c r="J28" s="176"/>
      <c r="K28" s="161"/>
      <c r="N28" s="126"/>
      <c r="O28" s="127"/>
      <c r="P28" s="127"/>
      <c r="Q28" s="127"/>
      <c r="R28" s="127"/>
      <c r="S28" s="127"/>
      <c r="T28" s="127"/>
      <c r="U28" s="127"/>
      <c r="V28" s="127"/>
      <c r="W28" s="127"/>
      <c r="X28" s="127"/>
    </row>
    <row r="29" spans="2:24" ht="28" customHeight="1" x14ac:dyDescent="0.35">
      <c r="B29" s="217"/>
      <c r="C29" s="217"/>
      <c r="D29" s="217" t="s">
        <v>138</v>
      </c>
      <c r="E29" s="218"/>
      <c r="F29" s="219"/>
      <c r="G29" s="145" t="s">
        <v>42</v>
      </c>
      <c r="H29" s="155" t="s">
        <v>139</v>
      </c>
      <c r="I29" s="162" t="s">
        <v>140</v>
      </c>
      <c r="J29" s="177" t="s">
        <v>141</v>
      </c>
      <c r="K29" s="162"/>
      <c r="N29" s="126"/>
      <c r="O29" s="127"/>
      <c r="P29" s="127"/>
      <c r="Q29" s="127"/>
      <c r="R29" s="127"/>
      <c r="S29" s="127"/>
      <c r="T29" s="127"/>
      <c r="U29" s="127"/>
      <c r="V29" s="127"/>
      <c r="W29" s="127"/>
      <c r="X29" s="127"/>
    </row>
    <row r="30" spans="2:24" ht="28" customHeight="1" x14ac:dyDescent="0.35">
      <c r="B30" s="228" t="s">
        <v>142</v>
      </c>
      <c r="C30" s="228">
        <v>14</v>
      </c>
      <c r="D30" s="223" t="s">
        <v>143</v>
      </c>
      <c r="E30" s="223"/>
      <c r="F30" s="224"/>
      <c r="G30" s="146" t="s">
        <v>47</v>
      </c>
      <c r="H30" s="188" t="s">
        <v>144</v>
      </c>
      <c r="I30" s="189"/>
      <c r="J30" s="178"/>
      <c r="K30" s="189"/>
      <c r="N30" s="126"/>
      <c r="O30" s="127"/>
      <c r="P30" s="127"/>
      <c r="Q30" s="127"/>
      <c r="R30" s="127"/>
      <c r="S30" s="127"/>
      <c r="T30" s="127"/>
      <c r="U30" s="127"/>
      <c r="V30" s="127"/>
      <c r="W30" s="127"/>
      <c r="X30" s="127"/>
    </row>
    <row r="31" spans="2:24" ht="28" customHeight="1" x14ac:dyDescent="0.35">
      <c r="B31" s="229"/>
      <c r="C31" s="229"/>
      <c r="D31" s="225" t="s">
        <v>145</v>
      </c>
      <c r="E31" s="225"/>
      <c r="F31" s="226"/>
      <c r="G31" s="147" t="s">
        <v>42</v>
      </c>
      <c r="H31" s="190" t="s">
        <v>146</v>
      </c>
      <c r="I31" s="191"/>
      <c r="J31" s="179"/>
      <c r="K31" s="191"/>
      <c r="N31" s="126"/>
      <c r="O31" s="127"/>
      <c r="P31" s="127"/>
      <c r="Q31" s="127"/>
      <c r="R31" s="127"/>
      <c r="S31" s="127"/>
      <c r="T31" s="127"/>
      <c r="U31" s="127"/>
      <c r="V31" s="127"/>
      <c r="W31" s="127"/>
      <c r="X31" s="127"/>
    </row>
    <row r="32" spans="2:24" ht="28" customHeight="1" x14ac:dyDescent="0.35">
      <c r="B32" s="230" t="s">
        <v>147</v>
      </c>
      <c r="C32" s="230">
        <v>15</v>
      </c>
      <c r="D32" s="217" t="s">
        <v>148</v>
      </c>
      <c r="E32" s="218"/>
      <c r="F32" s="219"/>
      <c r="G32" s="145" t="s">
        <v>47</v>
      </c>
      <c r="H32" s="197" t="s">
        <v>149</v>
      </c>
      <c r="I32" s="198" t="s">
        <v>150</v>
      </c>
      <c r="J32" s="180"/>
      <c r="K32" s="184"/>
      <c r="N32" s="126"/>
      <c r="O32" s="127"/>
      <c r="P32" s="127"/>
      <c r="Q32" s="127"/>
      <c r="R32" s="127"/>
      <c r="S32" s="127"/>
      <c r="T32" s="127"/>
      <c r="U32" s="127"/>
      <c r="V32" s="127"/>
      <c r="W32" s="127"/>
      <c r="X32" s="127"/>
    </row>
    <row r="33" spans="2:92" ht="28" customHeight="1" x14ac:dyDescent="0.35">
      <c r="B33" s="231"/>
      <c r="C33" s="231"/>
      <c r="D33" s="203" t="s">
        <v>151</v>
      </c>
      <c r="E33" s="203"/>
      <c r="F33" s="204"/>
      <c r="G33" s="139" t="s">
        <v>42</v>
      </c>
      <c r="H33" s="156" t="s">
        <v>152</v>
      </c>
      <c r="I33" s="157" t="s">
        <v>153</v>
      </c>
      <c r="J33" s="172" t="s">
        <v>154</v>
      </c>
      <c r="K33" s="182"/>
      <c r="N33" s="126"/>
      <c r="O33" s="127"/>
      <c r="P33" s="127"/>
      <c r="Q33" s="127"/>
      <c r="R33" s="127"/>
      <c r="S33" s="127"/>
      <c r="T33" s="127"/>
      <c r="U33" s="127"/>
      <c r="V33" s="127"/>
      <c r="W33" s="127"/>
      <c r="X33" s="127"/>
    </row>
    <row r="34" spans="2:92" ht="28" customHeight="1" x14ac:dyDescent="0.35">
      <c r="B34" s="232" t="s">
        <v>155</v>
      </c>
      <c r="C34" s="232">
        <v>16</v>
      </c>
      <c r="D34" s="220" t="s">
        <v>156</v>
      </c>
      <c r="E34" s="205"/>
      <c r="F34" s="206"/>
      <c r="G34" s="140" t="s">
        <v>47</v>
      </c>
      <c r="H34" s="163" t="s">
        <v>157</v>
      </c>
      <c r="I34" s="164" t="s">
        <v>158</v>
      </c>
      <c r="J34" s="181"/>
      <c r="K34" s="185" t="s">
        <v>159</v>
      </c>
      <c r="N34" s="126"/>
      <c r="O34" s="127"/>
      <c r="P34" s="127"/>
      <c r="Q34" s="127"/>
      <c r="R34" s="127"/>
      <c r="S34" s="127"/>
      <c r="T34" s="127"/>
      <c r="U34" s="127"/>
      <c r="V34" s="127"/>
      <c r="W34" s="127"/>
      <c r="X34" s="127"/>
    </row>
    <row r="35" spans="2:92" ht="28" customHeight="1" x14ac:dyDescent="0.35">
      <c r="B35" s="212"/>
      <c r="C35" s="212"/>
      <c r="D35" s="212" t="s">
        <v>160</v>
      </c>
      <c r="E35" s="213"/>
      <c r="F35" s="214"/>
      <c r="G35" s="143" t="s">
        <v>42</v>
      </c>
      <c r="H35" s="153" t="s">
        <v>161</v>
      </c>
      <c r="I35" s="159" t="s">
        <v>162</v>
      </c>
      <c r="J35" s="174" t="s">
        <v>163</v>
      </c>
      <c r="K35" s="159"/>
      <c r="N35" s="126"/>
      <c r="O35" s="127"/>
      <c r="P35" s="127"/>
      <c r="Q35" s="127"/>
      <c r="R35" s="127"/>
      <c r="S35" s="127"/>
      <c r="T35" s="127"/>
      <c r="U35" s="127"/>
      <c r="V35" s="127"/>
      <c r="W35" s="127"/>
      <c r="X35" s="127"/>
    </row>
    <row r="36" spans="2:92" s="19" customFormat="1" x14ac:dyDescent="0.35">
      <c r="B36" s="137"/>
      <c r="C36" s="137"/>
      <c r="D36" s="130"/>
      <c r="E36" s="130"/>
      <c r="F36" s="134"/>
      <c r="G36" s="130"/>
      <c r="H36" s="131"/>
      <c r="I36" s="132"/>
      <c r="J36" s="132"/>
      <c r="K36" s="132"/>
      <c r="L36"/>
      <c r="M36"/>
      <c r="N36" s="126"/>
      <c r="O36" s="127"/>
      <c r="P36" s="128"/>
      <c r="Q36" s="128"/>
      <c r="R36" s="128"/>
      <c r="S36" s="128"/>
      <c r="T36" s="128"/>
      <c r="U36" s="128"/>
      <c r="V36" s="128"/>
      <c r="W36" s="128"/>
      <c r="X36" s="128"/>
    </row>
    <row r="37" spans="2:92" s="19" customFormat="1" ht="32" customHeight="1" x14ac:dyDescent="0.35">
      <c r="B37" s="209" t="s">
        <v>164</v>
      </c>
      <c r="C37" s="209"/>
      <c r="D37" s="209" t="s">
        <v>165</v>
      </c>
      <c r="E37" s="209"/>
      <c r="F37" s="233"/>
      <c r="G37" s="209"/>
      <c r="H37" s="234" t="s">
        <v>166</v>
      </c>
      <c r="I37" s="234"/>
      <c r="J37" s="234"/>
      <c r="K37" s="235"/>
      <c r="L37"/>
      <c r="M37"/>
      <c r="N37" s="126"/>
      <c r="O37" s="127"/>
      <c r="P37" s="128"/>
      <c r="Q37" s="128"/>
      <c r="R37" s="128"/>
      <c r="S37" s="128"/>
      <c r="T37" s="128"/>
      <c r="U37" s="128"/>
      <c r="V37" s="128"/>
      <c r="W37" s="128"/>
      <c r="X37" s="128"/>
    </row>
    <row r="38" spans="2:92" x14ac:dyDescent="0.35">
      <c r="B38" s="101"/>
      <c r="C38" s="114"/>
      <c r="D38" s="67"/>
      <c r="E38" s="67"/>
      <c r="F38" s="74"/>
      <c r="G38" s="75"/>
      <c r="H38" s="76"/>
      <c r="I38" s="61"/>
      <c r="J38" s="61"/>
      <c r="K38" s="61"/>
      <c r="N38" s="126"/>
      <c r="O38" s="127"/>
      <c r="P38" s="127"/>
      <c r="Q38" s="127"/>
      <c r="R38" s="127"/>
      <c r="S38" s="127"/>
      <c r="T38" s="127"/>
      <c r="U38" s="127"/>
      <c r="V38" s="127"/>
      <c r="W38" s="127"/>
      <c r="X38" s="127"/>
    </row>
    <row r="39" spans="2:92" x14ac:dyDescent="0.35">
      <c r="B39" s="102"/>
      <c r="C39" s="112"/>
      <c r="D39" s="23"/>
      <c r="E39" s="20"/>
      <c r="F39" s="22"/>
      <c r="G39" s="4"/>
      <c r="H39" s="8"/>
      <c r="I39" s="8"/>
      <c r="J39" s="41"/>
      <c r="K39" s="8"/>
      <c r="N39" s="126"/>
      <c r="O39" s="127"/>
      <c r="P39" s="127"/>
      <c r="Q39" s="127"/>
      <c r="R39" s="127"/>
      <c r="S39" s="127"/>
      <c r="T39" s="127"/>
      <c r="U39" s="127"/>
      <c r="V39" s="127"/>
      <c r="W39" s="127"/>
      <c r="X39" s="127"/>
    </row>
    <row r="40" spans="2:92" x14ac:dyDescent="0.35">
      <c r="B40" s="103"/>
      <c r="C40" s="113"/>
      <c r="D40" s="68"/>
      <c r="E40" s="55"/>
      <c r="F40" s="56"/>
      <c r="G40" s="57"/>
      <c r="H40" s="63"/>
      <c r="I40" s="63"/>
      <c r="J40" s="71"/>
      <c r="K40" s="58"/>
      <c r="N40" s="126"/>
      <c r="O40" s="127"/>
      <c r="P40" s="127"/>
      <c r="Q40" s="127"/>
      <c r="R40" s="127"/>
      <c r="S40" s="127"/>
      <c r="T40" s="127"/>
      <c r="U40" s="127"/>
      <c r="V40" s="127"/>
      <c r="W40" s="127"/>
      <c r="X40" s="127"/>
    </row>
    <row r="41" spans="2:92" x14ac:dyDescent="0.35">
      <c r="B41" s="118"/>
      <c r="C41" s="107"/>
      <c r="D41" s="65"/>
      <c r="E41" s="65"/>
      <c r="F41" s="77"/>
      <c r="G41" s="78"/>
      <c r="H41" s="70"/>
      <c r="I41" s="69"/>
      <c r="J41" s="79"/>
      <c r="K41" s="66"/>
      <c r="L41" s="26"/>
      <c r="M41" s="26"/>
      <c r="N41" s="126"/>
      <c r="O41" s="127"/>
      <c r="P41" s="129"/>
      <c r="Q41" s="129"/>
      <c r="R41" s="129"/>
      <c r="S41" s="129"/>
      <c r="T41" s="129"/>
      <c r="U41" s="129"/>
      <c r="V41" s="129"/>
      <c r="W41" s="129"/>
      <c r="X41" s="129"/>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row>
    <row r="42" spans="2:92" x14ac:dyDescent="0.35">
      <c r="B42" s="119"/>
      <c r="C42" s="108"/>
      <c r="D42" s="33"/>
      <c r="E42" s="33"/>
      <c r="F42" s="34"/>
      <c r="G42" s="17"/>
      <c r="H42" s="39"/>
      <c r="I42" s="36"/>
      <c r="J42" s="36"/>
      <c r="K42" s="36"/>
      <c r="L42" s="26"/>
      <c r="M42" s="26"/>
      <c r="N42" s="126"/>
      <c r="O42" s="127"/>
      <c r="P42" s="129"/>
      <c r="Q42" s="129"/>
      <c r="R42" s="129"/>
      <c r="S42" s="129"/>
      <c r="T42" s="129"/>
      <c r="U42" s="129"/>
      <c r="V42" s="129"/>
      <c r="W42" s="129"/>
      <c r="X42" s="129"/>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row>
    <row r="43" spans="2:92" x14ac:dyDescent="0.35">
      <c r="B43" s="120"/>
      <c r="C43" s="109"/>
      <c r="D43" s="51"/>
      <c r="E43" s="51"/>
      <c r="F43" s="52"/>
      <c r="G43" s="80"/>
      <c r="H43" s="53"/>
      <c r="I43" s="81"/>
      <c r="J43" s="81"/>
      <c r="K43" s="82"/>
      <c r="L43" s="26"/>
      <c r="M43" s="26"/>
      <c r="N43" s="126"/>
      <c r="O43" s="127"/>
      <c r="P43" s="129"/>
      <c r="Q43" s="129"/>
      <c r="R43" s="129"/>
      <c r="S43" s="129"/>
      <c r="T43" s="129"/>
      <c r="U43" s="129"/>
      <c r="V43" s="129"/>
      <c r="W43" s="129"/>
      <c r="X43" s="129"/>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row>
    <row r="44" spans="2:92" x14ac:dyDescent="0.35">
      <c r="B44" s="115"/>
      <c r="C44" s="114"/>
      <c r="D44" s="67"/>
      <c r="E44" s="67"/>
      <c r="F44" s="74"/>
      <c r="G44" s="75"/>
      <c r="H44" s="83"/>
      <c r="I44" s="84"/>
      <c r="J44" s="85"/>
      <c r="K44" s="67"/>
      <c r="L44" s="26"/>
      <c r="M44" s="26"/>
      <c r="N44" s="126"/>
      <c r="O44" s="127"/>
      <c r="P44" s="129"/>
      <c r="Q44" s="129"/>
      <c r="R44" s="129"/>
      <c r="S44" s="129"/>
      <c r="T44" s="129"/>
      <c r="U44" s="129"/>
      <c r="V44" s="129"/>
      <c r="W44" s="129"/>
      <c r="X44" s="129"/>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row>
    <row r="45" spans="2:92" x14ac:dyDescent="0.35">
      <c r="B45" s="116"/>
      <c r="C45" s="112"/>
      <c r="D45" s="6"/>
      <c r="E45" s="20"/>
      <c r="F45" s="22"/>
      <c r="G45" s="4"/>
      <c r="H45" s="9"/>
      <c r="I45" s="20"/>
      <c r="J45" s="44"/>
      <c r="K45" s="43"/>
      <c r="L45" s="26"/>
      <c r="M45" s="26"/>
      <c r="N45" s="126"/>
      <c r="O45" s="127"/>
      <c r="P45" s="129"/>
      <c r="Q45" s="129"/>
      <c r="R45" s="129"/>
      <c r="S45" s="129"/>
      <c r="T45" s="129"/>
      <c r="U45" s="129"/>
      <c r="V45" s="129"/>
      <c r="W45" s="129"/>
      <c r="X45" s="129"/>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row>
    <row r="46" spans="2:92" x14ac:dyDescent="0.35">
      <c r="B46" s="117"/>
      <c r="C46" s="113"/>
      <c r="D46" s="68"/>
      <c r="E46" s="55"/>
      <c r="F46" s="56"/>
      <c r="G46" s="62"/>
      <c r="H46" s="86"/>
      <c r="I46" s="55"/>
      <c r="J46" s="87"/>
      <c r="K46" s="88"/>
      <c r="L46" s="26"/>
      <c r="M46" s="26"/>
      <c r="N46" s="126"/>
      <c r="O46" s="127"/>
      <c r="P46" s="129"/>
      <c r="Q46" s="129"/>
      <c r="R46" s="129"/>
      <c r="S46" s="129"/>
      <c r="T46" s="129"/>
      <c r="U46" s="129"/>
      <c r="V46" s="129"/>
      <c r="W46" s="129"/>
      <c r="X46" s="129"/>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row>
    <row r="47" spans="2:92" x14ac:dyDescent="0.35">
      <c r="B47" s="122"/>
      <c r="C47" s="107"/>
      <c r="D47" s="60"/>
      <c r="E47" s="67"/>
      <c r="F47" s="74"/>
      <c r="G47" s="75"/>
      <c r="H47" s="66"/>
      <c r="I47" s="91"/>
      <c r="J47" s="92"/>
      <c r="K47" s="92"/>
      <c r="L47" s="26"/>
      <c r="M47" s="26"/>
      <c r="N47" s="126"/>
      <c r="O47" s="127"/>
      <c r="P47" s="129"/>
      <c r="Q47" s="129"/>
      <c r="R47" s="129"/>
      <c r="S47" s="129"/>
      <c r="T47" s="129"/>
      <c r="U47" s="129"/>
      <c r="V47" s="129"/>
      <c r="W47" s="129"/>
      <c r="X47" s="129"/>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row>
    <row r="48" spans="2:92" x14ac:dyDescent="0.35">
      <c r="B48" s="123"/>
      <c r="C48" s="108"/>
      <c r="D48" s="23"/>
      <c r="E48" s="20"/>
      <c r="F48" s="7"/>
      <c r="G48" s="4"/>
      <c r="H48" s="35"/>
      <c r="I48" s="38"/>
      <c r="J48" s="37"/>
      <c r="K48" s="40"/>
      <c r="L48" s="26"/>
      <c r="M48" s="26"/>
      <c r="N48" s="126"/>
      <c r="O48" s="127"/>
      <c r="P48" s="129"/>
      <c r="Q48" s="129"/>
      <c r="R48" s="129"/>
      <c r="S48" s="129"/>
      <c r="T48" s="129"/>
      <c r="U48" s="129"/>
      <c r="V48" s="129"/>
      <c r="W48" s="129"/>
      <c r="X48" s="129"/>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row>
    <row r="49" spans="2:24" x14ac:dyDescent="0.35">
      <c r="B49" s="124"/>
      <c r="C49" s="109"/>
      <c r="D49" s="68"/>
      <c r="E49" s="55"/>
      <c r="F49" s="93"/>
      <c r="G49" s="62"/>
      <c r="H49" s="54"/>
      <c r="I49" s="81"/>
      <c r="J49" s="94"/>
      <c r="K49" s="51"/>
      <c r="N49" s="126"/>
      <c r="O49" s="127"/>
      <c r="P49" s="127"/>
      <c r="Q49" s="127"/>
      <c r="R49" s="127"/>
      <c r="S49" s="127"/>
      <c r="T49" s="127"/>
      <c r="U49" s="127"/>
      <c r="V49" s="127"/>
      <c r="W49" s="127"/>
      <c r="X49" s="127"/>
    </row>
    <row r="50" spans="2:24" x14ac:dyDescent="0.35">
      <c r="B50" s="110"/>
      <c r="C50" s="121"/>
      <c r="D50" s="49"/>
      <c r="E50" s="64"/>
      <c r="F50" s="50"/>
      <c r="G50" s="72"/>
      <c r="H50" s="73"/>
      <c r="I50" s="89"/>
      <c r="J50" s="44"/>
      <c r="K50" s="90"/>
      <c r="N50" s="126"/>
      <c r="O50" s="127"/>
      <c r="P50" s="127"/>
      <c r="Q50" s="127"/>
      <c r="R50" s="127"/>
      <c r="S50" s="127"/>
      <c r="T50" s="127"/>
      <c r="U50" s="127"/>
      <c r="V50" s="127"/>
      <c r="W50" s="127"/>
      <c r="X50" s="127"/>
    </row>
    <row r="51" spans="2:24" x14ac:dyDescent="0.35">
      <c r="B51" s="110"/>
      <c r="C51" s="112"/>
      <c r="D51" s="23"/>
      <c r="E51" s="20"/>
      <c r="F51" s="22"/>
      <c r="G51" s="4"/>
      <c r="H51" s="21"/>
      <c r="I51" s="25"/>
      <c r="J51" s="24"/>
      <c r="K51" s="24"/>
      <c r="N51" s="126"/>
      <c r="O51" s="127"/>
      <c r="P51" s="127"/>
      <c r="Q51" s="127"/>
      <c r="R51" s="127"/>
      <c r="S51" s="127"/>
      <c r="T51" s="127"/>
      <c r="U51" s="127"/>
      <c r="V51" s="127"/>
      <c r="W51" s="127"/>
      <c r="X51" s="127"/>
    </row>
    <row r="52" spans="2:24" x14ac:dyDescent="0.35">
      <c r="B52" s="111"/>
      <c r="C52" s="113"/>
      <c r="D52" s="68"/>
      <c r="E52" s="55"/>
      <c r="F52" s="56"/>
      <c r="G52" s="62"/>
      <c r="H52" s="59"/>
      <c r="I52" s="88"/>
      <c r="J52" s="95"/>
      <c r="K52" s="96"/>
      <c r="N52" s="126"/>
      <c r="O52" s="127"/>
      <c r="P52" s="127"/>
      <c r="Q52" s="127"/>
      <c r="R52" s="127"/>
      <c r="S52" s="127"/>
      <c r="T52" s="127"/>
      <c r="U52" s="127"/>
      <c r="V52" s="127"/>
      <c r="W52" s="127"/>
      <c r="X52" s="127"/>
    </row>
    <row r="53" spans="2:24" ht="55.65" customHeight="1" x14ac:dyDescent="0.35">
      <c r="B53" s="97"/>
      <c r="C53" s="98"/>
      <c r="D53" s="105"/>
      <c r="E53" s="106"/>
      <c r="F53" s="106"/>
      <c r="G53" s="106"/>
      <c r="H53" s="125"/>
      <c r="I53" s="104"/>
      <c r="J53" s="104"/>
      <c r="K53" s="104"/>
      <c r="N53" s="126"/>
      <c r="O53" s="127"/>
      <c r="P53" s="127"/>
      <c r="Q53" s="127"/>
      <c r="R53" s="127"/>
      <c r="S53" s="127"/>
      <c r="T53" s="127"/>
      <c r="U53" s="127"/>
      <c r="V53" s="127"/>
      <c r="W53" s="127"/>
      <c r="X53" s="127"/>
    </row>
    <row r="54" spans="2:24" x14ac:dyDescent="0.35">
      <c r="B54" s="46"/>
      <c r="C54" s="47"/>
      <c r="D54" s="48"/>
      <c r="E54" s="48"/>
      <c r="F54" s="48"/>
      <c r="G54" s="48"/>
      <c r="H54" s="48"/>
      <c r="I54" s="48"/>
      <c r="J54" s="48"/>
      <c r="K54" s="48"/>
    </row>
    <row r="55" spans="2:24" x14ac:dyDescent="0.35">
      <c r="H55" s="30"/>
      <c r="J55" s="26"/>
      <c r="K55" s="26"/>
    </row>
    <row r="56" spans="2:24" x14ac:dyDescent="0.35">
      <c r="C56" s="45"/>
      <c r="J56" s="26"/>
      <c r="K56" s="26"/>
    </row>
    <row r="57" spans="2:24" x14ac:dyDescent="0.35">
      <c r="J57" s="26"/>
    </row>
    <row r="58" spans="2:24" x14ac:dyDescent="0.35">
      <c r="J58" s="26"/>
    </row>
    <row r="59" spans="2:24" x14ac:dyDescent="0.35">
      <c r="J59" s="26"/>
    </row>
    <row r="60" spans="2:24" x14ac:dyDescent="0.35">
      <c r="J60" s="31"/>
    </row>
    <row r="61" spans="2:24" x14ac:dyDescent="0.35">
      <c r="J61" s="26"/>
    </row>
    <row r="62" spans="2:24" x14ac:dyDescent="0.35">
      <c r="J62" s="31"/>
    </row>
    <row r="63" spans="2:24" x14ac:dyDescent="0.35">
      <c r="J63" s="31"/>
    </row>
    <row r="64" spans="2:24" x14ac:dyDescent="0.35">
      <c r="J64"/>
    </row>
    <row r="65" spans="10:10" x14ac:dyDescent="0.35">
      <c r="J65"/>
    </row>
    <row r="66" spans="10:10" x14ac:dyDescent="0.35">
      <c r="J66"/>
    </row>
    <row r="67" spans="10:10" x14ac:dyDescent="0.35">
      <c r="J67"/>
    </row>
    <row r="68" spans="10:10" x14ac:dyDescent="0.35">
      <c r="J68"/>
    </row>
    <row r="69" spans="10:10" x14ac:dyDescent="0.35">
      <c r="J69"/>
    </row>
    <row r="70" spans="10:10" x14ac:dyDescent="0.35">
      <c r="J70"/>
    </row>
    <row r="71" spans="10:10" x14ac:dyDescent="0.35">
      <c r="J71"/>
    </row>
    <row r="72" spans="10:10" x14ac:dyDescent="0.35">
      <c r="J72"/>
    </row>
    <row r="73" spans="10:10" x14ac:dyDescent="0.35">
      <c r="J73"/>
    </row>
    <row r="74" spans="10:10" x14ac:dyDescent="0.35">
      <c r="J74"/>
    </row>
    <row r="75" spans="10:10" x14ac:dyDescent="0.35">
      <c r="J75"/>
    </row>
    <row r="76" spans="10:10" x14ac:dyDescent="0.35">
      <c r="J76"/>
    </row>
    <row r="77" spans="10:10" x14ac:dyDescent="0.35">
      <c r="J77"/>
    </row>
    <row r="78" spans="10:10" x14ac:dyDescent="0.35">
      <c r="J78"/>
    </row>
    <row r="79" spans="10:10" x14ac:dyDescent="0.35">
      <c r="J79"/>
    </row>
    <row r="80" spans="10:10" x14ac:dyDescent="0.35">
      <c r="J80"/>
    </row>
    <row r="81" spans="10:10" x14ac:dyDescent="0.35">
      <c r="J81"/>
    </row>
    <row r="82" spans="10:10" x14ac:dyDescent="0.35">
      <c r="J82"/>
    </row>
    <row r="83" spans="10:10" x14ac:dyDescent="0.35">
      <c r="J83"/>
    </row>
    <row r="84" spans="10:10" x14ac:dyDescent="0.35">
      <c r="J84"/>
    </row>
    <row r="85" spans="10:10" x14ac:dyDescent="0.35">
      <c r="J85"/>
    </row>
    <row r="86" spans="10:10" x14ac:dyDescent="0.35">
      <c r="J86"/>
    </row>
    <row r="87" spans="10:10" x14ac:dyDescent="0.35">
      <c r="J87"/>
    </row>
    <row r="88" spans="10:10" x14ac:dyDescent="0.35">
      <c r="J88"/>
    </row>
    <row r="89" spans="10:10" x14ac:dyDescent="0.35">
      <c r="J89"/>
    </row>
    <row r="90" spans="10:10" x14ac:dyDescent="0.35">
      <c r="J90"/>
    </row>
    <row r="91" spans="10:10" x14ac:dyDescent="0.35">
      <c r="J91"/>
    </row>
    <row r="92" spans="10:10" x14ac:dyDescent="0.35">
      <c r="J92"/>
    </row>
    <row r="93" spans="10:10" x14ac:dyDescent="0.35">
      <c r="J93"/>
    </row>
    <row r="94" spans="10:10" x14ac:dyDescent="0.35">
      <c r="J94"/>
    </row>
    <row r="95" spans="10:10" x14ac:dyDescent="0.35">
      <c r="J95"/>
    </row>
    <row r="96" spans="10:10" x14ac:dyDescent="0.35">
      <c r="J96"/>
    </row>
    <row r="97" spans="10:10" x14ac:dyDescent="0.35">
      <c r="J97"/>
    </row>
    <row r="98" spans="10:10" x14ac:dyDescent="0.35">
      <c r="J98"/>
    </row>
    <row r="99" spans="10:10" x14ac:dyDescent="0.35">
      <c r="J99"/>
    </row>
    <row r="100" spans="10:10" x14ac:dyDescent="0.35">
      <c r="J100"/>
    </row>
    <row r="101" spans="10:10" x14ac:dyDescent="0.35">
      <c r="J101"/>
    </row>
    <row r="102" spans="10:10" x14ac:dyDescent="0.35">
      <c r="J102"/>
    </row>
    <row r="103" spans="10:10" x14ac:dyDescent="0.35">
      <c r="J103"/>
    </row>
    <row r="104" spans="10:10" x14ac:dyDescent="0.35">
      <c r="J104"/>
    </row>
    <row r="105" spans="10:10" x14ac:dyDescent="0.35">
      <c r="J105"/>
    </row>
    <row r="106" spans="10:10" x14ac:dyDescent="0.35">
      <c r="J106"/>
    </row>
    <row r="107" spans="10:10" x14ac:dyDescent="0.35">
      <c r="J107"/>
    </row>
    <row r="108" spans="10:10" x14ac:dyDescent="0.35">
      <c r="J108"/>
    </row>
    <row r="109" spans="10:10" x14ac:dyDescent="0.35">
      <c r="J109"/>
    </row>
    <row r="110" spans="10:10" x14ac:dyDescent="0.35">
      <c r="J110"/>
    </row>
    <row r="111" spans="10:10" x14ac:dyDescent="0.35">
      <c r="J111"/>
    </row>
    <row r="112" spans="10:10" x14ac:dyDescent="0.35">
      <c r="J112"/>
    </row>
    <row r="113" spans="10:10" x14ac:dyDescent="0.35">
      <c r="J113"/>
    </row>
    <row r="114" spans="10:10" x14ac:dyDescent="0.35">
      <c r="J114"/>
    </row>
    <row r="115" spans="10:10" x14ac:dyDescent="0.35">
      <c r="J115"/>
    </row>
    <row r="116" spans="10:10" x14ac:dyDescent="0.35">
      <c r="J116"/>
    </row>
    <row r="117" spans="10:10" x14ac:dyDescent="0.35">
      <c r="J117"/>
    </row>
    <row r="118" spans="10:10" x14ac:dyDescent="0.35">
      <c r="J118"/>
    </row>
    <row r="119" spans="10:10" x14ac:dyDescent="0.35">
      <c r="J119"/>
    </row>
    <row r="120" spans="10:10" x14ac:dyDescent="0.35">
      <c r="J120"/>
    </row>
    <row r="121" spans="10:10" x14ac:dyDescent="0.35">
      <c r="J121"/>
    </row>
    <row r="122" spans="10:10" x14ac:dyDescent="0.35">
      <c r="J122"/>
    </row>
    <row r="123" spans="10:10" x14ac:dyDescent="0.35">
      <c r="J123"/>
    </row>
    <row r="124" spans="10:10" x14ac:dyDescent="0.35">
      <c r="J124"/>
    </row>
    <row r="125" spans="10:10" x14ac:dyDescent="0.35">
      <c r="J125"/>
    </row>
    <row r="126" spans="10:10" x14ac:dyDescent="0.35">
      <c r="J126"/>
    </row>
    <row r="127" spans="10:10" x14ac:dyDescent="0.35">
      <c r="J127"/>
    </row>
    <row r="128" spans="10:10" x14ac:dyDescent="0.35">
      <c r="J128"/>
    </row>
    <row r="129" spans="10:10" x14ac:dyDescent="0.35">
      <c r="J129"/>
    </row>
    <row r="130" spans="10:10" x14ac:dyDescent="0.35">
      <c r="J130"/>
    </row>
    <row r="131" spans="10:10" x14ac:dyDescent="0.35">
      <c r="J131"/>
    </row>
    <row r="132" spans="10:10" x14ac:dyDescent="0.35">
      <c r="J132"/>
    </row>
    <row r="133" spans="10:10" x14ac:dyDescent="0.35">
      <c r="J133"/>
    </row>
    <row r="134" spans="10:10" x14ac:dyDescent="0.35">
      <c r="J134"/>
    </row>
    <row r="135" spans="10:10" x14ac:dyDescent="0.35">
      <c r="J135"/>
    </row>
    <row r="136" spans="10:10" x14ac:dyDescent="0.35">
      <c r="J136"/>
    </row>
    <row r="137" spans="10:10" x14ac:dyDescent="0.35">
      <c r="J137"/>
    </row>
    <row r="138" spans="10:10" x14ac:dyDescent="0.35">
      <c r="J138"/>
    </row>
    <row r="139" spans="10:10" x14ac:dyDescent="0.35">
      <c r="J139"/>
    </row>
    <row r="140" spans="10:10" x14ac:dyDescent="0.35">
      <c r="J140"/>
    </row>
    <row r="141" spans="10:10" x14ac:dyDescent="0.35">
      <c r="J141"/>
    </row>
    <row r="142" spans="10:10" x14ac:dyDescent="0.35">
      <c r="J142"/>
    </row>
    <row r="143" spans="10:10" x14ac:dyDescent="0.35">
      <c r="J143"/>
    </row>
    <row r="144" spans="10:10" x14ac:dyDescent="0.35">
      <c r="J144"/>
    </row>
    <row r="145" spans="10:10" x14ac:dyDescent="0.35">
      <c r="J145"/>
    </row>
    <row r="146" spans="10:10" x14ac:dyDescent="0.35">
      <c r="J146"/>
    </row>
    <row r="147" spans="10:10" x14ac:dyDescent="0.35">
      <c r="J147"/>
    </row>
    <row r="148" spans="10:10" x14ac:dyDescent="0.35">
      <c r="J148"/>
    </row>
    <row r="149" spans="10:10" x14ac:dyDescent="0.35">
      <c r="J149"/>
    </row>
    <row r="150" spans="10:10" x14ac:dyDescent="0.35">
      <c r="J150"/>
    </row>
    <row r="151" spans="10:10" x14ac:dyDescent="0.35">
      <c r="J151"/>
    </row>
    <row r="152" spans="10:10" x14ac:dyDescent="0.35">
      <c r="J152"/>
    </row>
    <row r="153" spans="10:10" x14ac:dyDescent="0.35">
      <c r="J153"/>
    </row>
    <row r="154" spans="10:10" x14ac:dyDescent="0.35">
      <c r="J154"/>
    </row>
    <row r="155" spans="10:10" x14ac:dyDescent="0.35">
      <c r="J155"/>
    </row>
    <row r="156" spans="10:10" x14ac:dyDescent="0.35">
      <c r="J156"/>
    </row>
    <row r="157" spans="10:10" x14ac:dyDescent="0.35">
      <c r="J157"/>
    </row>
    <row r="158" spans="10:10" x14ac:dyDescent="0.35">
      <c r="J158"/>
    </row>
    <row r="159" spans="10:10" x14ac:dyDescent="0.35">
      <c r="J159"/>
    </row>
    <row r="160" spans="10:10" x14ac:dyDescent="0.35">
      <c r="J160"/>
    </row>
    <row r="161" spans="10:10" x14ac:dyDescent="0.35">
      <c r="J161"/>
    </row>
    <row r="162" spans="10:10" x14ac:dyDescent="0.35">
      <c r="J162"/>
    </row>
    <row r="163" spans="10:10" x14ac:dyDescent="0.35">
      <c r="J163"/>
    </row>
    <row r="164" spans="10:10" x14ac:dyDescent="0.35">
      <c r="J164"/>
    </row>
    <row r="165" spans="10:10" x14ac:dyDescent="0.35">
      <c r="J165"/>
    </row>
    <row r="166" spans="10:10" x14ac:dyDescent="0.35">
      <c r="J166"/>
    </row>
    <row r="167" spans="10:10" x14ac:dyDescent="0.35">
      <c r="J167"/>
    </row>
    <row r="168" spans="10:10" x14ac:dyDescent="0.35">
      <c r="J168"/>
    </row>
    <row r="169" spans="10:10" x14ac:dyDescent="0.35">
      <c r="J169"/>
    </row>
    <row r="170" spans="10:10" x14ac:dyDescent="0.35">
      <c r="J170"/>
    </row>
    <row r="171" spans="10:10" x14ac:dyDescent="0.35">
      <c r="J171"/>
    </row>
    <row r="172" spans="10:10" x14ac:dyDescent="0.35">
      <c r="J172"/>
    </row>
    <row r="173" spans="10:10" x14ac:dyDescent="0.35">
      <c r="J173"/>
    </row>
    <row r="174" spans="10:10" x14ac:dyDescent="0.35">
      <c r="J174"/>
    </row>
    <row r="175" spans="10:10" x14ac:dyDescent="0.35">
      <c r="J175"/>
    </row>
    <row r="176" spans="10:10" x14ac:dyDescent="0.35">
      <c r="J176"/>
    </row>
    <row r="177" spans="10:10" x14ac:dyDescent="0.35">
      <c r="J177"/>
    </row>
    <row r="178" spans="10:10" x14ac:dyDescent="0.35">
      <c r="J178"/>
    </row>
    <row r="179" spans="10:10" x14ac:dyDescent="0.35">
      <c r="J179"/>
    </row>
    <row r="180" spans="10:10" x14ac:dyDescent="0.35">
      <c r="J180"/>
    </row>
    <row r="181" spans="10:10" x14ac:dyDescent="0.35">
      <c r="J181"/>
    </row>
    <row r="182" spans="10:10" x14ac:dyDescent="0.35">
      <c r="J182"/>
    </row>
    <row r="183" spans="10:10" x14ac:dyDescent="0.35">
      <c r="J183"/>
    </row>
    <row r="184" spans="10:10" x14ac:dyDescent="0.35">
      <c r="J184"/>
    </row>
    <row r="185" spans="10:10" x14ac:dyDescent="0.35">
      <c r="J185"/>
    </row>
    <row r="186" spans="10:10" x14ac:dyDescent="0.35">
      <c r="J186"/>
    </row>
    <row r="187" spans="10:10" x14ac:dyDescent="0.35">
      <c r="J187"/>
    </row>
    <row r="188" spans="10:10" x14ac:dyDescent="0.35">
      <c r="J188"/>
    </row>
    <row r="189" spans="10:10" x14ac:dyDescent="0.35">
      <c r="J189"/>
    </row>
    <row r="190" spans="10:10" x14ac:dyDescent="0.35">
      <c r="J190"/>
    </row>
    <row r="191" spans="10:10" x14ac:dyDescent="0.35">
      <c r="J191"/>
    </row>
    <row r="192" spans="10:10" x14ac:dyDescent="0.35">
      <c r="J192"/>
    </row>
    <row r="193" spans="10:10" x14ac:dyDescent="0.35">
      <c r="J193"/>
    </row>
    <row r="194" spans="10:10" x14ac:dyDescent="0.35">
      <c r="J194"/>
    </row>
    <row r="195" spans="10:10" x14ac:dyDescent="0.35">
      <c r="J195"/>
    </row>
    <row r="196" spans="10:10" x14ac:dyDescent="0.35">
      <c r="J196"/>
    </row>
    <row r="197" spans="10:10" x14ac:dyDescent="0.35">
      <c r="J197"/>
    </row>
    <row r="198" spans="10:10" x14ac:dyDescent="0.35">
      <c r="J198"/>
    </row>
    <row r="199" spans="10:10" x14ac:dyDescent="0.35">
      <c r="J199"/>
    </row>
    <row r="200" spans="10:10" x14ac:dyDescent="0.35">
      <c r="J200"/>
    </row>
    <row r="201" spans="10:10" x14ac:dyDescent="0.35">
      <c r="J201"/>
    </row>
    <row r="202" spans="10:10" x14ac:dyDescent="0.35">
      <c r="J202"/>
    </row>
    <row r="203" spans="10:10" x14ac:dyDescent="0.35">
      <c r="J203"/>
    </row>
    <row r="204" spans="10:10" x14ac:dyDescent="0.35">
      <c r="J204"/>
    </row>
    <row r="205" spans="10:10" x14ac:dyDescent="0.35">
      <c r="J205"/>
    </row>
    <row r="206" spans="10:10" x14ac:dyDescent="0.35">
      <c r="J206"/>
    </row>
    <row r="207" spans="10:10" x14ac:dyDescent="0.35">
      <c r="J207"/>
    </row>
    <row r="208" spans="10:10" x14ac:dyDescent="0.35">
      <c r="J208"/>
    </row>
    <row r="209" spans="10:10" x14ac:dyDescent="0.35">
      <c r="J209"/>
    </row>
    <row r="210" spans="10:10" x14ac:dyDescent="0.35">
      <c r="J210"/>
    </row>
    <row r="211" spans="10:10" x14ac:dyDescent="0.35">
      <c r="J211"/>
    </row>
    <row r="212" spans="10:10" x14ac:dyDescent="0.35">
      <c r="J212"/>
    </row>
    <row r="213" spans="10:10" x14ac:dyDescent="0.35">
      <c r="J213"/>
    </row>
    <row r="214" spans="10:10" x14ac:dyDescent="0.35">
      <c r="J214"/>
    </row>
    <row r="215" spans="10:10" x14ac:dyDescent="0.35">
      <c r="J215"/>
    </row>
    <row r="216" spans="10:10" x14ac:dyDescent="0.35">
      <c r="J216"/>
    </row>
    <row r="217" spans="10:10" x14ac:dyDescent="0.35">
      <c r="J217"/>
    </row>
    <row r="218" spans="10:10" x14ac:dyDescent="0.35">
      <c r="J218"/>
    </row>
    <row r="219" spans="10:10" x14ac:dyDescent="0.35">
      <c r="J219"/>
    </row>
    <row r="220" spans="10:10" x14ac:dyDescent="0.35">
      <c r="J220"/>
    </row>
    <row r="221" spans="10:10" x14ac:dyDescent="0.35">
      <c r="J221"/>
    </row>
    <row r="222" spans="10:10" x14ac:dyDescent="0.35">
      <c r="J222"/>
    </row>
    <row r="223" spans="10:10" x14ac:dyDescent="0.35">
      <c r="J223"/>
    </row>
    <row r="224" spans="10:10" x14ac:dyDescent="0.35">
      <c r="J224"/>
    </row>
    <row r="225" spans="10:10" x14ac:dyDescent="0.35">
      <c r="J225"/>
    </row>
    <row r="226" spans="10:10" x14ac:dyDescent="0.35">
      <c r="J226"/>
    </row>
    <row r="227" spans="10:10" x14ac:dyDescent="0.35">
      <c r="J227"/>
    </row>
    <row r="228" spans="10:10" x14ac:dyDescent="0.35">
      <c r="J228"/>
    </row>
    <row r="229" spans="10:10" x14ac:dyDescent="0.35">
      <c r="J229"/>
    </row>
    <row r="230" spans="10:10" x14ac:dyDescent="0.35">
      <c r="J230"/>
    </row>
    <row r="231" spans="10:10" x14ac:dyDescent="0.35">
      <c r="J231"/>
    </row>
    <row r="232" spans="10:10" x14ac:dyDescent="0.35">
      <c r="J232"/>
    </row>
    <row r="233" spans="10:10" x14ac:dyDescent="0.35">
      <c r="J233"/>
    </row>
    <row r="234" spans="10:10" x14ac:dyDescent="0.35">
      <c r="J234"/>
    </row>
    <row r="235" spans="10:10" x14ac:dyDescent="0.35">
      <c r="J235"/>
    </row>
    <row r="236" spans="10:10" x14ac:dyDescent="0.35">
      <c r="J236"/>
    </row>
    <row r="237" spans="10:10" x14ac:dyDescent="0.35">
      <c r="J237"/>
    </row>
    <row r="238" spans="10:10" x14ac:dyDescent="0.35">
      <c r="J238"/>
    </row>
    <row r="239" spans="10:10" x14ac:dyDescent="0.35">
      <c r="J239"/>
    </row>
    <row r="240" spans="10:10" x14ac:dyDescent="0.35">
      <c r="J240"/>
    </row>
    <row r="241" spans="10:10" x14ac:dyDescent="0.35">
      <c r="J241"/>
    </row>
    <row r="242" spans="10:10" x14ac:dyDescent="0.35">
      <c r="J242"/>
    </row>
    <row r="243" spans="10:10" x14ac:dyDescent="0.35">
      <c r="J243"/>
    </row>
    <row r="244" spans="10:10" x14ac:dyDescent="0.35">
      <c r="J244"/>
    </row>
    <row r="245" spans="10:10" x14ac:dyDescent="0.35">
      <c r="J245"/>
    </row>
    <row r="246" spans="10:10" x14ac:dyDescent="0.35">
      <c r="J246"/>
    </row>
    <row r="247" spans="10:10" x14ac:dyDescent="0.35">
      <c r="J247"/>
    </row>
    <row r="248" spans="10:10" x14ac:dyDescent="0.35">
      <c r="J248"/>
    </row>
    <row r="249" spans="10:10" x14ac:dyDescent="0.35">
      <c r="J249"/>
    </row>
    <row r="250" spans="10:10" x14ac:dyDescent="0.35">
      <c r="J250"/>
    </row>
    <row r="251" spans="10:10" x14ac:dyDescent="0.35">
      <c r="J251"/>
    </row>
    <row r="252" spans="10:10" x14ac:dyDescent="0.35">
      <c r="J252"/>
    </row>
    <row r="253" spans="10:10" x14ac:dyDescent="0.35">
      <c r="J253"/>
    </row>
    <row r="254" spans="10:10" x14ac:dyDescent="0.35">
      <c r="J254"/>
    </row>
    <row r="255" spans="10:10" x14ac:dyDescent="0.35">
      <c r="J255"/>
    </row>
    <row r="256" spans="10:10" x14ac:dyDescent="0.35">
      <c r="J256"/>
    </row>
    <row r="257" spans="10:10" x14ac:dyDescent="0.35">
      <c r="J257"/>
    </row>
    <row r="258" spans="10:10" x14ac:dyDescent="0.35">
      <c r="J258"/>
    </row>
    <row r="259" spans="10:10" x14ac:dyDescent="0.35">
      <c r="J259"/>
    </row>
    <row r="260" spans="10:10" x14ac:dyDescent="0.35">
      <c r="J260"/>
    </row>
    <row r="261" spans="10:10" x14ac:dyDescent="0.35">
      <c r="J261"/>
    </row>
    <row r="262" spans="10:10" x14ac:dyDescent="0.35">
      <c r="J262"/>
    </row>
    <row r="263" spans="10:10" x14ac:dyDescent="0.35">
      <c r="J263"/>
    </row>
    <row r="264" spans="10:10" x14ac:dyDescent="0.35">
      <c r="J264"/>
    </row>
    <row r="265" spans="10:10" x14ac:dyDescent="0.35">
      <c r="J265"/>
    </row>
    <row r="266" spans="10:10" x14ac:dyDescent="0.35">
      <c r="J266"/>
    </row>
  </sheetData>
  <mergeCells count="67">
    <mergeCell ref="B37:C37"/>
    <mergeCell ref="D37:G37"/>
    <mergeCell ref="H37:K37"/>
    <mergeCell ref="B30:B31"/>
    <mergeCell ref="C30:C31"/>
    <mergeCell ref="B32:B33"/>
    <mergeCell ref="C32:C33"/>
    <mergeCell ref="B34:B35"/>
    <mergeCell ref="C34:C35"/>
    <mergeCell ref="B24:B25"/>
    <mergeCell ref="C24:C25"/>
    <mergeCell ref="B26:B27"/>
    <mergeCell ref="C26:C27"/>
    <mergeCell ref="B28:B29"/>
    <mergeCell ref="C28:C29"/>
    <mergeCell ref="B18:B19"/>
    <mergeCell ref="C18:C19"/>
    <mergeCell ref="B20:B21"/>
    <mergeCell ref="C20:C21"/>
    <mergeCell ref="B22:B23"/>
    <mergeCell ref="C22:C23"/>
    <mergeCell ref="D32:F32"/>
    <mergeCell ref="D33:F33"/>
    <mergeCell ref="D34:F34"/>
    <mergeCell ref="D35:F35"/>
    <mergeCell ref="B6:B7"/>
    <mergeCell ref="C6:C7"/>
    <mergeCell ref="B8:B9"/>
    <mergeCell ref="C8:C9"/>
    <mergeCell ref="B10:B11"/>
    <mergeCell ref="C10:C11"/>
    <mergeCell ref="B12:B13"/>
    <mergeCell ref="C12:C13"/>
    <mergeCell ref="B14:B15"/>
    <mergeCell ref="C14:C15"/>
    <mergeCell ref="B16:B17"/>
    <mergeCell ref="C16:C17"/>
    <mergeCell ref="D27:F27"/>
    <mergeCell ref="D28:F28"/>
    <mergeCell ref="D29:F29"/>
    <mergeCell ref="D30:F30"/>
    <mergeCell ref="D31:F31"/>
    <mergeCell ref="D22:F22"/>
    <mergeCell ref="D23:F23"/>
    <mergeCell ref="D24:F24"/>
    <mergeCell ref="D25:F25"/>
    <mergeCell ref="D26:F26"/>
    <mergeCell ref="D17:F17"/>
    <mergeCell ref="D18:F18"/>
    <mergeCell ref="D19:F19"/>
    <mergeCell ref="D20:F20"/>
    <mergeCell ref="D21:F21"/>
    <mergeCell ref="D12:F12"/>
    <mergeCell ref="D13:F13"/>
    <mergeCell ref="D14:F14"/>
    <mergeCell ref="D15:F15"/>
    <mergeCell ref="D16:F16"/>
    <mergeCell ref="D7:F7"/>
    <mergeCell ref="D8:F8"/>
    <mergeCell ref="D9:F9"/>
    <mergeCell ref="D10:F10"/>
    <mergeCell ref="D11:F11"/>
    <mergeCell ref="B1:K1"/>
    <mergeCell ref="B2:K2"/>
    <mergeCell ref="D4:F4"/>
    <mergeCell ref="D5:F5"/>
    <mergeCell ref="D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workbookViewId="0"/>
  </sheetViews>
  <sheetFormatPr defaultRowHeight="14.5" x14ac:dyDescent="0.35"/>
  <cols>
    <col min="1" max="1" width="57" customWidth="1"/>
    <col min="2" max="2" width="16.08984375" customWidth="1"/>
    <col min="3" max="3" width="12" customWidth="1"/>
    <col min="4" max="4" width="11.90625" customWidth="1"/>
    <col min="5" max="5" width="13.36328125" customWidth="1"/>
    <col min="7" max="7" width="10.6328125" style="1" customWidth="1"/>
    <col min="8" max="8" width="8.6328125" style="3"/>
    <col min="9" max="9" width="12.81640625" style="2" customWidth="1"/>
  </cols>
  <sheetData>
    <row r="1" spans="1:11" ht="58" x14ac:dyDescent="0.35">
      <c r="A1" t="s">
        <v>0</v>
      </c>
      <c r="B1" s="10" t="s">
        <v>1</v>
      </c>
      <c r="C1" s="10" t="s">
        <v>2</v>
      </c>
      <c r="D1" s="10" t="s">
        <v>3</v>
      </c>
      <c r="E1" s="10" t="s">
        <v>4</v>
      </c>
      <c r="F1" s="10" t="s">
        <v>5</v>
      </c>
      <c r="G1" s="10" t="s">
        <v>6</v>
      </c>
      <c r="H1"/>
      <c r="I1"/>
    </row>
    <row r="2" spans="1:11" x14ac:dyDescent="0.35">
      <c r="G2"/>
      <c r="H2"/>
      <c r="I2"/>
    </row>
    <row r="3" spans="1:11" x14ac:dyDescent="0.35">
      <c r="A3" t="s">
        <v>7</v>
      </c>
      <c r="B3">
        <v>1</v>
      </c>
      <c r="C3">
        <v>10</v>
      </c>
      <c r="E3">
        <v>0</v>
      </c>
      <c r="F3">
        <f>B3*C3</f>
        <v>10</v>
      </c>
      <c r="G3" s="99"/>
      <c r="H3"/>
      <c r="I3"/>
      <c r="J3" t="s">
        <v>8</v>
      </c>
      <c r="K3">
        <f>F14</f>
        <v>1095</v>
      </c>
    </row>
    <row r="4" spans="1:11" x14ac:dyDescent="0.35">
      <c r="A4" t="s">
        <v>9</v>
      </c>
      <c r="B4">
        <v>9</v>
      </c>
      <c r="C4">
        <v>25</v>
      </c>
      <c r="E4">
        <v>0</v>
      </c>
      <c r="F4">
        <f t="shared" ref="F4:F11" si="0">B4*C4</f>
        <v>225</v>
      </c>
      <c r="G4" s="99"/>
      <c r="H4"/>
      <c r="I4" s="42">
        <v>0</v>
      </c>
      <c r="J4" s="11">
        <f t="shared" ref="J4:J13" si="1">I4*$F$14</f>
        <v>0</v>
      </c>
      <c r="K4" s="12" t="s">
        <v>10</v>
      </c>
    </row>
    <row r="5" spans="1:11" x14ac:dyDescent="0.35">
      <c r="A5" t="s">
        <v>11</v>
      </c>
      <c r="B5">
        <v>9</v>
      </c>
      <c r="C5">
        <v>15</v>
      </c>
      <c r="E5">
        <v>4</v>
      </c>
      <c r="F5">
        <f t="shared" si="0"/>
        <v>135</v>
      </c>
      <c r="G5" s="99"/>
      <c r="H5"/>
      <c r="I5" s="42">
        <v>0.6</v>
      </c>
      <c r="J5" s="13">
        <f t="shared" si="1"/>
        <v>657</v>
      </c>
      <c r="K5" s="14" t="s">
        <v>12</v>
      </c>
    </row>
    <row r="6" spans="1:11" x14ac:dyDescent="0.35">
      <c r="A6" t="s">
        <v>13</v>
      </c>
      <c r="B6">
        <v>3</v>
      </c>
      <c r="C6">
        <v>50</v>
      </c>
      <c r="E6">
        <v>2</v>
      </c>
      <c r="F6">
        <f t="shared" si="0"/>
        <v>150</v>
      </c>
      <c r="G6" s="99"/>
      <c r="H6"/>
      <c r="I6" s="42">
        <v>0.7</v>
      </c>
      <c r="J6" s="13">
        <f t="shared" si="1"/>
        <v>766.5</v>
      </c>
      <c r="K6" s="14" t="s">
        <v>14</v>
      </c>
    </row>
    <row r="7" spans="1:11" x14ac:dyDescent="0.35">
      <c r="A7" t="s">
        <v>15</v>
      </c>
      <c r="B7">
        <v>1</v>
      </c>
      <c r="C7">
        <v>75</v>
      </c>
      <c r="E7">
        <v>2</v>
      </c>
      <c r="F7">
        <f t="shared" si="0"/>
        <v>75</v>
      </c>
      <c r="G7" s="99"/>
      <c r="H7"/>
      <c r="I7" s="42">
        <v>0.73</v>
      </c>
      <c r="J7" s="13">
        <f t="shared" si="1"/>
        <v>799.35</v>
      </c>
      <c r="K7" s="14" t="s">
        <v>16</v>
      </c>
    </row>
    <row r="8" spans="1:11" x14ac:dyDescent="0.35">
      <c r="A8" t="s">
        <v>17</v>
      </c>
      <c r="B8">
        <v>1</v>
      </c>
      <c r="C8">
        <v>125</v>
      </c>
      <c r="E8">
        <v>0</v>
      </c>
      <c r="F8">
        <f t="shared" si="0"/>
        <v>125</v>
      </c>
      <c r="G8" s="99"/>
      <c r="H8"/>
      <c r="I8" s="42">
        <v>0.77</v>
      </c>
      <c r="J8" s="13">
        <f t="shared" si="1"/>
        <v>843.15</v>
      </c>
      <c r="K8" s="14" t="s">
        <v>18</v>
      </c>
    </row>
    <row r="9" spans="1:11" ht="10" customHeight="1" x14ac:dyDescent="0.35">
      <c r="A9" t="s">
        <v>19</v>
      </c>
      <c r="B9">
        <v>1</v>
      </c>
      <c r="C9">
        <v>75</v>
      </c>
      <c r="E9">
        <v>0</v>
      </c>
      <c r="F9">
        <f t="shared" si="0"/>
        <v>75</v>
      </c>
      <c r="G9" s="99"/>
      <c r="H9"/>
      <c r="I9" s="42">
        <v>0.8</v>
      </c>
      <c r="J9" s="13">
        <f t="shared" si="1"/>
        <v>876</v>
      </c>
      <c r="K9" s="14" t="s">
        <v>20</v>
      </c>
    </row>
    <row r="10" spans="1:11" ht="9.5" customHeight="1" x14ac:dyDescent="0.35">
      <c r="A10" t="s">
        <v>21</v>
      </c>
      <c r="B10">
        <v>2</v>
      </c>
      <c r="C10">
        <v>75</v>
      </c>
      <c r="E10">
        <v>0</v>
      </c>
      <c r="F10">
        <f t="shared" si="0"/>
        <v>150</v>
      </c>
      <c r="G10" s="99"/>
      <c r="H10"/>
      <c r="I10" s="42">
        <v>0.83</v>
      </c>
      <c r="J10" s="13">
        <f t="shared" si="1"/>
        <v>908.84999999999991</v>
      </c>
      <c r="K10" s="14" t="s">
        <v>22</v>
      </c>
    </row>
    <row r="11" spans="1:11" x14ac:dyDescent="0.35">
      <c r="A11" t="s">
        <v>23</v>
      </c>
      <c r="B11">
        <v>3</v>
      </c>
      <c r="C11">
        <v>50</v>
      </c>
      <c r="E11">
        <v>0</v>
      </c>
      <c r="F11">
        <f t="shared" si="0"/>
        <v>150</v>
      </c>
      <c r="G11" s="99"/>
      <c r="H11"/>
      <c r="I11" s="42">
        <v>0.87</v>
      </c>
      <c r="J11" s="13">
        <f t="shared" si="1"/>
        <v>952.65</v>
      </c>
      <c r="K11" s="14" t="s">
        <v>24</v>
      </c>
    </row>
    <row r="12" spans="1:11" x14ac:dyDescent="0.35">
      <c r="A12" t="s">
        <v>25</v>
      </c>
      <c r="B12">
        <v>1</v>
      </c>
      <c r="C12" s="28" t="s">
        <v>26</v>
      </c>
      <c r="E12">
        <v>0</v>
      </c>
      <c r="F12">
        <v>0</v>
      </c>
      <c r="G12" s="99"/>
      <c r="H12"/>
      <c r="I12" s="42">
        <v>0.9</v>
      </c>
      <c r="J12" s="13">
        <f t="shared" si="1"/>
        <v>985.5</v>
      </c>
      <c r="K12" s="14" t="s">
        <v>27</v>
      </c>
    </row>
    <row r="13" spans="1:11" x14ac:dyDescent="0.35">
      <c r="A13" t="s">
        <v>28</v>
      </c>
      <c r="B13">
        <v>5</v>
      </c>
      <c r="C13">
        <v>5</v>
      </c>
      <c r="E13">
        <v>0</v>
      </c>
      <c r="F13">
        <v>0</v>
      </c>
      <c r="G13"/>
      <c r="H13"/>
      <c r="I13" s="42">
        <v>0.93</v>
      </c>
      <c r="J13" s="15">
        <f t="shared" si="1"/>
        <v>1018.35</v>
      </c>
      <c r="K13" s="16" t="s">
        <v>29</v>
      </c>
    </row>
    <row r="14" spans="1:11" x14ac:dyDescent="0.35">
      <c r="A14" t="s">
        <v>30</v>
      </c>
      <c r="F14" s="5">
        <f>SUM(F3:F12)</f>
        <v>1095</v>
      </c>
      <c r="G14" s="100">
        <v>1</v>
      </c>
      <c r="H14"/>
      <c r="I14"/>
    </row>
    <row r="15" spans="1:11" x14ac:dyDescent="0.35">
      <c r="G15"/>
      <c r="H15"/>
      <c r="I15"/>
    </row>
    <row r="16" spans="1:11" x14ac:dyDescent="0.35">
      <c r="G16"/>
      <c r="H16"/>
      <c r="I16"/>
    </row>
    <row r="25" ht="10.5" customHeight="1" x14ac:dyDescent="0.35"/>
    <row r="26" ht="10.5" customHeight="1" x14ac:dyDescent="0.35"/>
    <row r="27" ht="10.5" customHeight="1" x14ac:dyDescent="0.35"/>
    <row r="33" spans="8:9" x14ac:dyDescent="0.35">
      <c r="H33"/>
      <c r="I33"/>
    </row>
    <row r="34" spans="8:9" x14ac:dyDescent="0.35">
      <c r="H34"/>
      <c r="I34"/>
    </row>
    <row r="35" spans="8:9" x14ac:dyDescent="0.35">
      <c r="H35"/>
      <c r="I35"/>
    </row>
    <row r="36" spans="8:9" x14ac:dyDescent="0.35">
      <c r="H36"/>
      <c r="I36"/>
    </row>
    <row r="37" spans="8:9" x14ac:dyDescent="0.35">
      <c r="H37"/>
      <c r="I37"/>
    </row>
    <row r="38" spans="8:9" x14ac:dyDescent="0.35">
      <c r="H38"/>
      <c r="I38"/>
    </row>
    <row r="39" spans="8:9" x14ac:dyDescent="0.35">
      <c r="H39"/>
      <c r="I39"/>
    </row>
    <row r="40" spans="8:9" x14ac:dyDescent="0.35">
      <c r="H40"/>
      <c r="I40"/>
    </row>
    <row r="41" spans="8:9" x14ac:dyDescent="0.35">
      <c r="H41"/>
      <c r="I41"/>
    </row>
    <row r="42" spans="8:9" x14ac:dyDescent="0.35">
      <c r="H42"/>
      <c r="I42"/>
    </row>
    <row r="43" spans="8:9" x14ac:dyDescent="0.35">
      <c r="H43"/>
      <c r="I43"/>
    </row>
    <row r="44" spans="8:9" x14ac:dyDescent="0.35">
      <c r="H44"/>
      <c r="I44"/>
    </row>
    <row r="45" spans="8:9" x14ac:dyDescent="0.35">
      <c r="H45"/>
      <c r="I45"/>
    </row>
    <row r="46" spans="8:9" x14ac:dyDescent="0.35">
      <c r="H46"/>
      <c r="I46"/>
    </row>
    <row r="47" spans="8:9" x14ac:dyDescent="0.35">
      <c r="H47"/>
      <c r="I47"/>
    </row>
    <row r="48" spans="8:9" x14ac:dyDescent="0.35">
      <c r="I48"/>
    </row>
    <row r="49" spans="9:9" x14ac:dyDescent="0.35">
      <c r="I49"/>
    </row>
    <row r="50" spans="9:9" x14ac:dyDescent="0.35">
      <c r="I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Schedule</vt:lpstr>
      <vt:lpstr>GradePoints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JoAnne Nordhagen</dc:creator>
  <cp:lastModifiedBy>Nordhagen, Joanne</cp:lastModifiedBy>
  <dcterms:created xsi:type="dcterms:W3CDTF">2026-08-24T19:00:14Z</dcterms:created>
  <dcterms:modified xsi:type="dcterms:W3CDTF">2026-08-24T19:00:14Z</dcterms:modified>
</cp:coreProperties>
</file>