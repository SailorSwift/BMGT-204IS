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05079991-2251-4199-A602-AF79AB90CB8A}" xr6:coauthVersionLast="47" xr6:coauthVersionMax="47" xr10:uidLastSave="{00000000-0000-0000-0000-000000000000}"/>
  <bookViews>
    <workbookView xWindow="1170" yWindow="1170" windowWidth="17880" windowHeight="13380" xr2:uid="{00000000-000D-0000-FFFF-FFFF00000000}"/>
  </bookViews>
  <sheets>
    <sheet name="Data" sheetId="3" r:id="rId1"/>
    <sheet name="Extra Shee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" i="3" l="1"/>
  <c r="M5" i="3"/>
  <c r="M6" i="3"/>
  <c r="M7" i="3"/>
  <c r="M8" i="3"/>
  <c r="M9" i="3" l="1"/>
</calcChain>
</file>

<file path=xl/sharedStrings.xml><?xml version="1.0" encoding="utf-8"?>
<sst xmlns="http://schemas.openxmlformats.org/spreadsheetml/2006/main" count="30" uniqueCount="26">
  <si>
    <t>Advertising: Estimated Expenditures by Medium: 1994-2001</t>
  </si>
  <si>
    <t>Medium</t>
  </si>
  <si>
    <t>Newspapers</t>
  </si>
  <si>
    <t>Magazines</t>
  </si>
  <si>
    <t>Broadcast TV</t>
  </si>
  <si>
    <t>Cable TV</t>
  </si>
  <si>
    <t>Radio</t>
  </si>
  <si>
    <t>Yellow Pages</t>
  </si>
  <si>
    <t>Direct Mail</t>
  </si>
  <si>
    <t>Business Papers</t>
  </si>
  <si>
    <t>Internet</t>
  </si>
  <si>
    <t>Miscellaneous</t>
  </si>
  <si>
    <t>Print</t>
  </si>
  <si>
    <t>TV</t>
  </si>
  <si>
    <t>Other</t>
  </si>
  <si>
    <t>Total</t>
  </si>
  <si>
    <t>2001 Spending</t>
  </si>
  <si>
    <t>For Pie Chart:</t>
  </si>
  <si>
    <t>1994</t>
  </si>
  <si>
    <t>1995</t>
  </si>
  <si>
    <t>1996</t>
  </si>
  <si>
    <t>1997</t>
  </si>
  <si>
    <t>1998</t>
  </si>
  <si>
    <t>1999</t>
  </si>
  <si>
    <t>2000</t>
  </si>
  <si>
    <t>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</si>
</sst>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i/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3" fontId="0" fillId="2" borderId="2" xfId="0" applyNumberFormat="1" applyFill="1" applyBorder="1"/>
    <xf numFmtId="3" fontId="0" fillId="2" borderId="3" xfId="0" applyNumberFormat="1" applyFill="1" applyBorder="1"/>
    <xf numFmtId="0" fontId="0" fillId="2" borderId="4" xfId="0" applyFill="1" applyBorder="1"/>
    <xf numFmtId="3" fontId="0" fillId="2" borderId="0" xfId="0" applyNumberFormat="1" applyFill="1" applyBorder="1"/>
    <xf numFmtId="3" fontId="0" fillId="2" borderId="5" xfId="0" applyNumberFormat="1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2" borderId="6" xfId="0" applyFill="1" applyBorder="1"/>
    <xf numFmtId="3" fontId="0" fillId="2" borderId="7" xfId="0" applyNumberFormat="1" applyFill="1" applyBorder="1"/>
    <xf numFmtId="3" fontId="0" fillId="2" borderId="8" xfId="0" applyNumberFormat="1" applyFill="1" applyBorder="1"/>
    <xf numFmtId="0" fontId="3" fillId="0" borderId="0" xfId="0" applyFont="1"/>
    <xf numFmtId="0" fontId="2" fillId="3" borderId="9" xfId="0" applyFont="1" applyFill="1" applyBorder="1"/>
    <xf numFmtId="0" fontId="2" fillId="3" borderId="11" xfId="0" quotePrefix="1" applyFont="1" applyFill="1" applyBorder="1" applyAlignment="1">
      <alignment horizontal="right"/>
    </xf>
    <xf numFmtId="0" fontId="2" fillId="3" borderId="10" xfId="0" quotePrefix="1" applyFont="1" applyFill="1" applyBorder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8FAE1"/>
      <color rgb="FF003399"/>
      <color rgb="FF3366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Where Do Advertising Dollars Go?</a:t>
            </a:r>
          </a:p>
        </c:rich>
      </c:tx>
      <c:layout>
        <c:manualLayout>
          <c:xMode val="edge"/>
          <c:yMode val="edge"/>
          <c:x val="0.23170731707317074"/>
          <c:y val="4.1841004184100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975609756097561"/>
          <c:y val="0.32635983263598328"/>
          <c:w val="0.29268292682926828"/>
          <c:h val="0.502092050209205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812-430A-98CC-DC9580414F0A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812-430A-98CC-DC9580414F0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812-430A-98CC-DC9580414F0A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7812-430A-98CC-DC9580414F0A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7812-430A-98CC-DC9580414F0A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Data!$L$4:$L$8</c:f>
              <c:strCache>
                <c:ptCount val="5"/>
                <c:pt idx="0">
                  <c:v>Print</c:v>
                </c:pt>
                <c:pt idx="1">
                  <c:v>TV</c:v>
                </c:pt>
                <c:pt idx="2">
                  <c:v>Radio</c:v>
                </c:pt>
                <c:pt idx="3">
                  <c:v>Direct Mail</c:v>
                </c:pt>
                <c:pt idx="4">
                  <c:v>Other</c:v>
                </c:pt>
              </c:strCache>
            </c:strRef>
          </c:cat>
          <c:val>
            <c:numRef>
              <c:f>Data!$M$4:$M$8</c:f>
              <c:numCache>
                <c:formatCode>#,##0</c:formatCode>
                <c:ptCount val="5"/>
                <c:pt idx="0">
                  <c:v>73410</c:v>
                </c:pt>
                <c:pt idx="1">
                  <c:v>54417</c:v>
                </c:pt>
                <c:pt idx="2">
                  <c:v>17861</c:v>
                </c:pt>
                <c:pt idx="3">
                  <c:v>44725</c:v>
                </c:pt>
                <c:pt idx="4">
                  <c:v>35740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12-430A-98CC-DC9580414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14</xdr:row>
      <xdr:rowOff>152400</xdr:rowOff>
    </xdr:from>
    <xdr:to>
      <xdr:col>6</xdr:col>
      <xdr:colOff>400050</xdr:colOff>
      <xdr:row>29</xdr:row>
      <xdr:rowOff>0</xdr:rowOff>
    </xdr:to>
    <xdr:graphicFrame macro="">
      <xdr:nvGraphicFramePr>
        <xdr:cNvPr id="2055" name="Chart 4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190500</xdr:colOff>
      <xdr:row>10</xdr:row>
      <xdr:rowOff>66675</xdr:rowOff>
    </xdr:from>
    <xdr:to>
      <xdr:col>13</xdr:col>
      <xdr:colOff>75939</xdr:colOff>
      <xdr:row>20</xdr:row>
      <xdr:rowOff>28377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7E379A-9A4E-40DE-A103-B051C4417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0350" y="1714500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0.72001</cdr:x>
      <cdr:y>0.73767</cdr:y>
    </cdr:from>
    <cdr:to>
      <cdr:x>0.98735</cdr:x>
      <cdr:y>0.92694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V="1">
          <a:off x="2821865" y="1689481"/>
          <a:ext cx="1046550" cy="4326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 </a:t>
          </a:r>
          <a:r>
            <a:rPr lang="en-US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Statistical Abstract of the U.S., 2002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, p. 772.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4"/>
  <sheetViews>
    <sheetView showGridLines="0" tabSelected="1" workbookViewId="0"/>
  </sheetViews>
  <sheetFormatPr defaultRowHeight="12.75" x14ac:dyDescent="0.2"/>
  <cols>
    <col min="1" max="1" width="4.5703125" customWidth="1"/>
    <col min="2" max="2" width="17.42578125" customWidth="1"/>
    <col min="3" max="3" width="10.28515625" customWidth="1"/>
    <col min="11" max="11" width="5.42578125" customWidth="1"/>
    <col min="12" max="12" width="11.5703125" customWidth="1"/>
    <col min="13" max="13" width="16" customWidth="1"/>
  </cols>
  <sheetData>
    <row r="1" spans="2:13" ht="15" x14ac:dyDescent="0.2">
      <c r="B1" s="12" t="s">
        <v>0</v>
      </c>
    </row>
    <row r="2" spans="2:13" x14ac:dyDescent="0.2">
      <c r="L2" s="16" t="s">
        <v>17</v>
      </c>
      <c r="M2" s="16"/>
    </row>
    <row r="3" spans="2:13" x14ac:dyDescent="0.2">
      <c r="B3" s="13" t="s">
        <v>1</v>
      </c>
      <c r="C3" s="15" t="s">
        <v>18</v>
      </c>
      <c r="D3" s="15" t="s">
        <v>19</v>
      </c>
      <c r="E3" s="15" t="s">
        <v>20</v>
      </c>
      <c r="F3" s="15" t="s">
        <v>21</v>
      </c>
      <c r="G3" s="15" t="s">
        <v>22</v>
      </c>
      <c r="H3" s="15" t="s">
        <v>23</v>
      </c>
      <c r="I3" s="15" t="s">
        <v>24</v>
      </c>
      <c r="J3" s="14" t="s">
        <v>25</v>
      </c>
      <c r="L3" s="13" t="s">
        <v>1</v>
      </c>
      <c r="M3" s="14" t="s">
        <v>16</v>
      </c>
    </row>
    <row r="4" spans="2:13" x14ac:dyDescent="0.2">
      <c r="B4" s="1" t="s">
        <v>2</v>
      </c>
      <c r="C4" s="2">
        <v>34356</v>
      </c>
      <c r="D4" s="2">
        <v>36317</v>
      </c>
      <c r="E4" s="2">
        <v>38402</v>
      </c>
      <c r="F4" s="2">
        <v>41670</v>
      </c>
      <c r="G4" s="2">
        <v>44292</v>
      </c>
      <c r="H4" s="2">
        <v>46648</v>
      </c>
      <c r="I4" s="2">
        <v>49050</v>
      </c>
      <c r="J4" s="3">
        <v>44255</v>
      </c>
      <c r="L4" s="1" t="s">
        <v>12</v>
      </c>
      <c r="M4" s="3">
        <f>J4+J5+J9+J11</f>
        <v>73410</v>
      </c>
    </row>
    <row r="5" spans="2:13" x14ac:dyDescent="0.2">
      <c r="B5" s="4" t="s">
        <v>3</v>
      </c>
      <c r="C5" s="5">
        <v>7916</v>
      </c>
      <c r="D5" s="5">
        <v>8580</v>
      </c>
      <c r="E5" s="5">
        <v>9010</v>
      </c>
      <c r="F5" s="5">
        <v>9821</v>
      </c>
      <c r="G5" s="5">
        <v>10518</v>
      </c>
      <c r="H5" s="5">
        <v>11433</v>
      </c>
      <c r="I5" s="5">
        <v>12370</v>
      </c>
      <c r="J5" s="6">
        <v>11095</v>
      </c>
      <c r="L5" s="4" t="s">
        <v>13</v>
      </c>
      <c r="M5" s="6">
        <f>J6+J7</f>
        <v>54417</v>
      </c>
    </row>
    <row r="6" spans="2:13" x14ac:dyDescent="0.2">
      <c r="B6" s="4" t="s">
        <v>4</v>
      </c>
      <c r="C6" s="5">
        <v>31133</v>
      </c>
      <c r="D6" s="5">
        <v>32720</v>
      </c>
      <c r="E6" s="5">
        <v>36046</v>
      </c>
      <c r="F6" s="5">
        <v>36893</v>
      </c>
      <c r="G6" s="5">
        <v>39173</v>
      </c>
      <c r="H6" s="5">
        <v>40011</v>
      </c>
      <c r="I6" s="5">
        <v>44802</v>
      </c>
      <c r="J6" s="6">
        <v>38881</v>
      </c>
      <c r="L6" s="4" t="s">
        <v>6</v>
      </c>
      <c r="M6" s="6">
        <f>J8</f>
        <v>17861</v>
      </c>
    </row>
    <row r="7" spans="2:13" x14ac:dyDescent="0.2">
      <c r="B7" s="4" t="s">
        <v>5</v>
      </c>
      <c r="C7" s="5">
        <v>5209</v>
      </c>
      <c r="D7" s="5">
        <v>6166</v>
      </c>
      <c r="E7" s="5">
        <v>7778</v>
      </c>
      <c r="F7" s="5">
        <v>8750</v>
      </c>
      <c r="G7" s="5">
        <v>10340</v>
      </c>
      <c r="H7" s="5">
        <v>12570</v>
      </c>
      <c r="I7" s="5">
        <v>15455</v>
      </c>
      <c r="J7" s="6">
        <v>15536</v>
      </c>
      <c r="L7" s="4" t="s">
        <v>8</v>
      </c>
      <c r="M7" s="6">
        <f>J10</f>
        <v>44725</v>
      </c>
    </row>
    <row r="8" spans="2:13" x14ac:dyDescent="0.2">
      <c r="B8" s="4" t="s">
        <v>6</v>
      </c>
      <c r="C8" s="5">
        <v>10529</v>
      </c>
      <c r="D8" s="5">
        <v>11338</v>
      </c>
      <c r="E8" s="5">
        <v>12269</v>
      </c>
      <c r="F8" s="5">
        <v>13491</v>
      </c>
      <c r="G8" s="5">
        <v>15073</v>
      </c>
      <c r="H8" s="5">
        <v>17215</v>
      </c>
      <c r="I8" s="5">
        <v>19295</v>
      </c>
      <c r="J8" s="6">
        <v>17861</v>
      </c>
      <c r="L8" s="4" t="s">
        <v>14</v>
      </c>
      <c r="M8" s="6">
        <f>J12+J13</f>
        <v>35740</v>
      </c>
    </row>
    <row r="9" spans="2:13" x14ac:dyDescent="0.2">
      <c r="B9" s="4" t="s">
        <v>7</v>
      </c>
      <c r="C9" s="5">
        <v>9825</v>
      </c>
      <c r="D9" s="5">
        <v>10236</v>
      </c>
      <c r="E9" s="5">
        <v>10849</v>
      </c>
      <c r="F9" s="5">
        <v>11423</v>
      </c>
      <c r="G9" s="5">
        <v>11990</v>
      </c>
      <c r="H9" s="5">
        <v>12652</v>
      </c>
      <c r="I9" s="5">
        <v>13228</v>
      </c>
      <c r="J9" s="6">
        <v>13592</v>
      </c>
      <c r="L9" s="9" t="s">
        <v>15</v>
      </c>
      <c r="M9" s="11">
        <f>SUM(M4:M8)</f>
        <v>226153</v>
      </c>
    </row>
    <row r="10" spans="2:13" x14ac:dyDescent="0.2">
      <c r="B10" s="4" t="s">
        <v>8</v>
      </c>
      <c r="C10" s="5">
        <v>29638</v>
      </c>
      <c r="D10" s="5">
        <v>32866</v>
      </c>
      <c r="E10" s="5">
        <v>34509</v>
      </c>
      <c r="F10" s="5">
        <v>36890</v>
      </c>
      <c r="G10" s="5">
        <v>39620</v>
      </c>
      <c r="H10" s="5">
        <v>41403</v>
      </c>
      <c r="I10" s="5">
        <v>44591</v>
      </c>
      <c r="J10" s="6">
        <v>44725</v>
      </c>
    </row>
    <row r="11" spans="2:13" x14ac:dyDescent="0.2">
      <c r="B11" s="4" t="s">
        <v>9</v>
      </c>
      <c r="C11" s="5">
        <v>3358</v>
      </c>
      <c r="D11" s="5">
        <v>3559</v>
      </c>
      <c r="E11" s="5">
        <v>3808</v>
      </c>
      <c r="F11" s="5">
        <v>4109</v>
      </c>
      <c r="G11" s="5">
        <v>4232</v>
      </c>
      <c r="H11" s="5">
        <v>4274</v>
      </c>
      <c r="I11" s="5">
        <v>4915</v>
      </c>
      <c r="J11" s="6">
        <v>4468</v>
      </c>
    </row>
    <row r="12" spans="2:13" x14ac:dyDescent="0.2">
      <c r="B12" s="4" t="s">
        <v>10</v>
      </c>
      <c r="C12" s="7">
        <v>0</v>
      </c>
      <c r="D12" s="7">
        <v>0</v>
      </c>
      <c r="E12" s="7">
        <v>0</v>
      </c>
      <c r="F12" s="8">
        <v>800</v>
      </c>
      <c r="G12" s="5">
        <v>1383</v>
      </c>
      <c r="H12" s="5">
        <v>2832</v>
      </c>
      <c r="I12" s="5">
        <v>6507</v>
      </c>
      <c r="J12" s="6">
        <v>5752</v>
      </c>
    </row>
    <row r="13" spans="2:13" x14ac:dyDescent="0.2">
      <c r="B13" s="4" t="s">
        <v>11</v>
      </c>
      <c r="C13" s="5">
        <v>19893</v>
      </c>
      <c r="D13" s="5">
        <v>22102</v>
      </c>
      <c r="E13" s="5">
        <v>24103</v>
      </c>
      <c r="F13" s="5">
        <v>26005</v>
      </c>
      <c r="G13" s="5">
        <v>28500</v>
      </c>
      <c r="H13" s="5">
        <v>31545</v>
      </c>
      <c r="I13" s="5">
        <v>32083</v>
      </c>
      <c r="J13" s="6">
        <v>29988</v>
      </c>
    </row>
    <row r="14" spans="2:13" x14ac:dyDescent="0.2">
      <c r="B14" s="9" t="s">
        <v>15</v>
      </c>
      <c r="C14" s="10">
        <v>151857</v>
      </c>
      <c r="D14" s="10">
        <v>163884</v>
      </c>
      <c r="E14" s="10">
        <v>176774</v>
      </c>
      <c r="F14" s="10">
        <v>189852</v>
      </c>
      <c r="G14" s="10">
        <v>205121</v>
      </c>
      <c r="H14" s="10">
        <v>220583</v>
      </c>
      <c r="I14" s="10">
        <v>242296</v>
      </c>
      <c r="J14" s="11">
        <v>226153</v>
      </c>
    </row>
  </sheetData>
  <mergeCells count="1">
    <mergeCell ref="L2:M2"/>
  </mergeCells>
  <phoneticPr fontId="0" type="noConversion"/>
  <pageMargins left="0.75" right="0.75" top="1" bottom="1" header="0.5" footer="0.5"/>
  <pageSetup scale="89"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Recording Media--Manufacturer Shipments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2020-03-03T05:49:41Z</cp:lastPrinted>
  <dcterms:created xsi:type="dcterms:W3CDTF">2004-07-23T18:05:43Z</dcterms:created>
  <dcterms:modified xsi:type="dcterms:W3CDTF">2022-08-12T15:56:32Z</dcterms:modified>
</cp:coreProperties>
</file>