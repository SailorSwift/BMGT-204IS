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419392AB-4C06-4CA7-9E38-FF06A8A7A2F9}" xr6:coauthVersionLast="47" xr6:coauthVersionMax="47" xr10:uidLastSave="{00000000-0000-0000-0000-000000000000}"/>
  <bookViews>
    <workbookView xWindow="3615" yWindow="1020" windowWidth="22695" windowHeight="1161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7" i="2" l="1"/>
  <c r="R37" i="2"/>
  <c r="S37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4" i="2"/>
  <c r="T5" i="2"/>
  <c r="U5" i="2"/>
  <c r="V5" i="2"/>
  <c r="W5" i="2"/>
  <c r="T6" i="2"/>
  <c r="U6" i="2"/>
  <c r="V6" i="2"/>
  <c r="W6" i="2"/>
  <c r="T7" i="2"/>
  <c r="U7" i="2"/>
  <c r="V7" i="2"/>
  <c r="W7" i="2"/>
  <c r="T8" i="2"/>
  <c r="U8" i="2"/>
  <c r="V8" i="2"/>
  <c r="W8" i="2"/>
  <c r="T9" i="2"/>
  <c r="U9" i="2"/>
  <c r="V9" i="2"/>
  <c r="W9" i="2"/>
  <c r="T10" i="2"/>
  <c r="U10" i="2"/>
  <c r="V10" i="2"/>
  <c r="W10" i="2"/>
  <c r="T11" i="2"/>
  <c r="U11" i="2"/>
  <c r="V11" i="2"/>
  <c r="W11" i="2"/>
  <c r="T12" i="2"/>
  <c r="U12" i="2"/>
  <c r="V12" i="2"/>
  <c r="W12" i="2"/>
  <c r="T13" i="2"/>
  <c r="U13" i="2"/>
  <c r="V13" i="2"/>
  <c r="W13" i="2"/>
  <c r="T14" i="2"/>
  <c r="U14" i="2"/>
  <c r="V14" i="2"/>
  <c r="W14" i="2"/>
  <c r="T15" i="2"/>
  <c r="U15" i="2"/>
  <c r="V15" i="2"/>
  <c r="W15" i="2"/>
  <c r="T16" i="2"/>
  <c r="U16" i="2"/>
  <c r="V16" i="2"/>
  <c r="W16" i="2"/>
  <c r="T17" i="2"/>
  <c r="U17" i="2"/>
  <c r="V17" i="2"/>
  <c r="W17" i="2"/>
  <c r="T18" i="2"/>
  <c r="U18" i="2"/>
  <c r="V18" i="2"/>
  <c r="W18" i="2"/>
  <c r="T19" i="2"/>
  <c r="U19" i="2"/>
  <c r="V19" i="2"/>
  <c r="W19" i="2"/>
  <c r="T20" i="2"/>
  <c r="U20" i="2"/>
  <c r="V20" i="2"/>
  <c r="W20" i="2"/>
  <c r="T21" i="2"/>
  <c r="U21" i="2"/>
  <c r="V21" i="2"/>
  <c r="W21" i="2"/>
  <c r="T22" i="2"/>
  <c r="U22" i="2"/>
  <c r="V22" i="2"/>
  <c r="W22" i="2"/>
  <c r="T23" i="2"/>
  <c r="U23" i="2"/>
  <c r="V23" i="2"/>
  <c r="W23" i="2"/>
  <c r="T24" i="2"/>
  <c r="U24" i="2"/>
  <c r="V24" i="2"/>
  <c r="W24" i="2"/>
  <c r="T25" i="2"/>
  <c r="U25" i="2"/>
  <c r="V25" i="2"/>
  <c r="W25" i="2"/>
  <c r="T26" i="2"/>
  <c r="U26" i="2"/>
  <c r="V26" i="2"/>
  <c r="W26" i="2"/>
  <c r="T27" i="2"/>
  <c r="U27" i="2"/>
  <c r="V27" i="2"/>
  <c r="W27" i="2"/>
  <c r="T28" i="2"/>
  <c r="U28" i="2"/>
  <c r="V28" i="2"/>
  <c r="W28" i="2"/>
  <c r="T29" i="2"/>
  <c r="U29" i="2"/>
  <c r="V29" i="2"/>
  <c r="W29" i="2"/>
  <c r="T30" i="2"/>
  <c r="U30" i="2"/>
  <c r="V30" i="2"/>
  <c r="W30" i="2"/>
  <c r="T31" i="2"/>
  <c r="U31" i="2"/>
  <c r="V31" i="2"/>
  <c r="W31" i="2"/>
  <c r="T32" i="2"/>
  <c r="U32" i="2"/>
  <c r="V32" i="2"/>
  <c r="W32" i="2"/>
  <c r="T33" i="2"/>
  <c r="U33" i="2"/>
  <c r="V33" i="2"/>
  <c r="W33" i="2"/>
  <c r="T34" i="2"/>
  <c r="U34" i="2"/>
  <c r="V34" i="2"/>
  <c r="W34" i="2"/>
  <c r="T35" i="2"/>
  <c r="U35" i="2"/>
  <c r="V35" i="2"/>
  <c r="W35" i="2"/>
  <c r="T36" i="2"/>
  <c r="U36" i="2"/>
  <c r="V36" i="2"/>
  <c r="W36" i="2"/>
  <c r="U4" i="2"/>
  <c r="V4" i="2"/>
  <c r="W4" i="2"/>
  <c r="T4" i="2"/>
</calcChain>
</file>

<file path=xl/sharedStrings.xml><?xml version="1.0" encoding="utf-8"?>
<sst xmlns="http://schemas.openxmlformats.org/spreadsheetml/2006/main" count="240" uniqueCount="173">
  <si>
    <t>Peak</t>
  </si>
  <si>
    <t>Trough</t>
  </si>
  <si>
    <t>P-T Contract</t>
  </si>
  <si>
    <t>T-P Expand</t>
  </si>
  <si>
    <t>T-T Cycle</t>
  </si>
  <si>
    <t>P-P Cycle</t>
  </si>
  <si>
    <t>June 1857(II)</t>
  </si>
  <si>
    <t>December 1858 (IV)</t>
  </si>
  <si>
    <t>October 1860(III)</t>
  </si>
  <si>
    <t>June 1861 (III)</t>
  </si>
  <si>
    <t>April 1865(I)</t>
  </si>
  <si>
    <t>December 1867 (I)</t>
  </si>
  <si>
    <t>June 1869(II)</t>
  </si>
  <si>
    <t>December 1870 (IV)</t>
  </si>
  <si>
    <t>October 1873(III)</t>
  </si>
  <si>
    <t>March 1879 (I)</t>
  </si>
  <si>
    <t>March 1882(I)</t>
  </si>
  <si>
    <t>May 1885 (II)</t>
  </si>
  <si>
    <t>March 1887(II)</t>
  </si>
  <si>
    <t>April 1888 (I)</t>
  </si>
  <si>
    <t>July 1890(III)</t>
  </si>
  <si>
    <t>May 1891 (II)</t>
  </si>
  <si>
    <t>January 1893(I)</t>
  </si>
  <si>
    <t>June 1894 (II)</t>
  </si>
  <si>
    <t>December 1895(IV)</t>
  </si>
  <si>
    <t>June 1897 (II)</t>
  </si>
  <si>
    <t>June 1899(III)</t>
  </si>
  <si>
    <t>December 1900 (IV)</t>
  </si>
  <si>
    <t>September 1902(IV)</t>
  </si>
  <si>
    <t>August 1904 (III)</t>
  </si>
  <si>
    <t>May 1907(II)</t>
  </si>
  <si>
    <t>June 1908 (II)</t>
  </si>
  <si>
    <t>January 1910(I)</t>
  </si>
  <si>
    <t>January 1912 (IV)</t>
  </si>
  <si>
    <t>January 1913(I)</t>
  </si>
  <si>
    <t>December 1914 (IV)</t>
  </si>
  <si>
    <t>August 1918(III)</t>
  </si>
  <si>
    <t>March 1919 (I)</t>
  </si>
  <si>
    <t>January 1920(I)</t>
  </si>
  <si>
    <t>July 1921 (III)</t>
  </si>
  <si>
    <t>May 1923(II)</t>
  </si>
  <si>
    <t>July 1924 (III)</t>
  </si>
  <si>
    <t>October 1926(III)</t>
  </si>
  <si>
    <t>November 1927 (IV)</t>
  </si>
  <si>
    <t>August 1929(III)</t>
  </si>
  <si>
    <t>March 1933 (I)</t>
  </si>
  <si>
    <t>May 1937(II)</t>
  </si>
  <si>
    <t>June 1938 (II)</t>
  </si>
  <si>
    <t>February 1945(I)</t>
  </si>
  <si>
    <t>October 1945 (IV)</t>
  </si>
  <si>
    <t>November 1948(IV)</t>
  </si>
  <si>
    <t>October 1949 (IV)</t>
  </si>
  <si>
    <t>July 1953(II)</t>
  </si>
  <si>
    <t>May 1954 (II)</t>
  </si>
  <si>
    <t>August 1957(III)</t>
  </si>
  <si>
    <t>April 1958 (II)</t>
  </si>
  <si>
    <t>April 1960(II)</t>
  </si>
  <si>
    <t>February 1961 (I)</t>
  </si>
  <si>
    <t>December 1969(IV)</t>
  </si>
  <si>
    <t>November 1970 (IV)</t>
  </si>
  <si>
    <t>November 1973(IV)</t>
  </si>
  <si>
    <t>March 1975 (I)</t>
  </si>
  <si>
    <t>January 1980(I)</t>
  </si>
  <si>
    <t>July 1980 (III)</t>
  </si>
  <si>
    <t>July 1981(III)</t>
  </si>
  <si>
    <t>November 1982 (IV)</t>
  </si>
  <si>
    <t>July 1990(III)</t>
  </si>
  <si>
    <t>March 1991(I)</t>
  </si>
  <si>
    <t>March 2001(I)</t>
  </si>
  <si>
    <t>November 2001 (IV)</t>
  </si>
  <si>
    <t>Dec 2007(IV)</t>
  </si>
  <si>
    <t>Mar 2009 (I)</t>
  </si>
  <si>
    <t>Business Cycle Reference Dates</t>
  </si>
  <si>
    <t>Contraction</t>
  </si>
  <si>
    <t>Expansion</t>
  </si>
  <si>
    <t>Cycle</t>
  </si>
  <si>
    <t>Peak Month</t>
  </si>
  <si>
    <t>Peak Year</t>
  </si>
  <si>
    <t>Peak Quarter</t>
  </si>
  <si>
    <t>Trough Month</t>
  </si>
  <si>
    <t>Trough Year</t>
  </si>
  <si>
    <t>Peak to Trough (Months)</t>
  </si>
  <si>
    <t>Previous Trough to this Peak (Months)</t>
  </si>
  <si>
    <t>Trough from Previous Trough (Months)</t>
  </si>
  <si>
    <t>Peak from Previous Peak (Months)</t>
  </si>
  <si>
    <t>-</t>
  </si>
  <si>
    <t>December</t>
  </si>
  <si>
    <t>June</t>
  </si>
  <si>
    <t>March</t>
  </si>
  <si>
    <t>May</t>
  </si>
  <si>
    <t>July</t>
  </si>
  <si>
    <t>January</t>
  </si>
  <si>
    <t>August</t>
  </si>
  <si>
    <t>November</t>
  </si>
  <si>
    <t>February</t>
  </si>
  <si>
    <t>October</t>
  </si>
  <si>
    <t>April</t>
  </si>
  <si>
    <t>occurred</t>
  </si>
  <si>
    <t>2019Q4</t>
  </si>
  <si>
    <t>April </t>
  </si>
  <si>
    <t>2020 </t>
  </si>
  <si>
    <t>2 </t>
  </si>
  <si>
    <t>130 </t>
  </si>
  <si>
    <t>Mar 2009 (2)</t>
  </si>
  <si>
    <t>September</t>
  </si>
  <si>
    <t>Table 3.3</t>
  </si>
  <si>
    <t>Used</t>
  </si>
  <si>
    <t>May 1907 (II)</t>
  </si>
  <si>
    <t>May 1923 (II)</t>
  </si>
  <si>
    <t>``````</t>
  </si>
  <si>
    <t>May 1937 (II)</t>
  </si>
  <si>
    <t>Dec 2007 (IV)</t>
  </si>
  <si>
    <t>Jan 1893 (I)</t>
  </si>
  <si>
    <t>Jan 1910 (I)</t>
  </si>
  <si>
    <t>Jan 1912 (IV)</t>
  </si>
  <si>
    <t>Jan 1913 (I)</t>
  </si>
  <si>
    <t>Jan 1920 (I)</t>
  </si>
  <si>
    <t>Jan 1980 (I)</t>
  </si>
  <si>
    <t>Feb 1945 (I)</t>
  </si>
  <si>
    <t>Feb 1961 (I)</t>
  </si>
  <si>
    <t>Mar 1879 (I)</t>
  </si>
  <si>
    <t>Mar 1882 (I)</t>
  </si>
  <si>
    <t>Mar 1887 (II)</t>
  </si>
  <si>
    <t>Mar 1919 (I)</t>
  </si>
  <si>
    <t>Mar 1933 (I)</t>
  </si>
  <si>
    <t>Mar 1975 (I)</t>
  </si>
  <si>
    <t>Mar 1991(I)</t>
  </si>
  <si>
    <t>Mar 2001 (I)</t>
  </si>
  <si>
    <t>Apr 1865 (I)</t>
  </si>
  <si>
    <t>Apr 1888 (I)</t>
  </si>
  <si>
    <t>Apr 1958 (II)</t>
  </si>
  <si>
    <t>Apr 1960 (II)</t>
  </si>
  <si>
    <t>Jun 1857 (II)</t>
  </si>
  <si>
    <t>Jun 1861 (III)</t>
  </si>
  <si>
    <t>Jun 1869 (II)</t>
  </si>
  <si>
    <t>Jun 1894 (II)</t>
  </si>
  <si>
    <t>Jun 1897 (II)</t>
  </si>
  <si>
    <t>Jun 1899 (III)</t>
  </si>
  <si>
    <t>Jun 1908 (II)</t>
  </si>
  <si>
    <t>Jun 1938 (II)</t>
  </si>
  <si>
    <t>Jul 1890 (III)</t>
  </si>
  <si>
    <t>Jul 1921 (III)</t>
  </si>
  <si>
    <t>Jul 1924 (III)</t>
  </si>
  <si>
    <t>Jul 1953 (II)</t>
  </si>
  <si>
    <t>Jul 1980 (III)</t>
  </si>
  <si>
    <t>Jul 1981 (III)</t>
  </si>
  <si>
    <t>Jul 1990 (III)</t>
  </si>
  <si>
    <t>Aug 1904 (III)</t>
  </si>
  <si>
    <t>Aug 1918 (III)</t>
  </si>
  <si>
    <t>Aug 1929 (III)</t>
  </si>
  <si>
    <t>Aug 1957 (III)</t>
  </si>
  <si>
    <t>Sep 1902 (IV)</t>
  </si>
  <si>
    <t>Oct 1860 (III)</t>
  </si>
  <si>
    <t>Oct 1873 (III)</t>
  </si>
  <si>
    <t>Oct 1926 (III)</t>
  </si>
  <si>
    <t>Oct 1945 (IV)</t>
  </si>
  <si>
    <t>Oct 1949 (IV)</t>
  </si>
  <si>
    <t>Nov 1927 (IV)</t>
  </si>
  <si>
    <t>Nov 1948 (IV)</t>
  </si>
  <si>
    <t>Nov 1970 (IV)</t>
  </si>
  <si>
    <t>Nov 1973 (IV)</t>
  </si>
  <si>
    <t>Nov 1982 (IV)</t>
  </si>
  <si>
    <t>Nov 2001 (IV)</t>
  </si>
  <si>
    <t>Dec 1858 (IV)</t>
  </si>
  <si>
    <t>Dec 1867 (I)</t>
  </si>
  <si>
    <t>Dec 1870 (IV)</t>
  </si>
  <si>
    <t>Dec 1895 (IV)</t>
  </si>
  <si>
    <t>Dec 1900 (IV)</t>
  </si>
  <si>
    <t>Dec 1914 (IV)</t>
  </si>
  <si>
    <t>Dec 1969 (IV)</t>
  </si>
  <si>
    <t>Apr 2020 (II)</t>
  </si>
  <si>
    <t>Feb 2020 (I)</t>
  </si>
  <si>
    <r>
      <t>U.S. Business Cycles, 1857-2021 (</t>
    </r>
    <r>
      <rPr>
        <b/>
        <sz val="12"/>
        <color theme="4" tint="-0.249977111117893"/>
        <rFont val="Arial"/>
        <family val="2"/>
      </rPr>
      <t>n</t>
    </r>
    <r>
      <rPr>
        <b/>
        <i/>
        <sz val="12"/>
        <color theme="4" tint="-0.249977111117893"/>
        <rFont val="Arial"/>
        <family val="2"/>
      </rPr>
      <t xml:space="preserve"> = 34  quarterly dates in parentheses)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</si>
</sst>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3" fillId="0" borderId="7" xfId="0" applyFont="1" applyBorder="1"/>
    <xf numFmtId="0" fontId="3" fillId="0" borderId="0" xfId="0" applyFont="1"/>
    <xf numFmtId="0" fontId="0" fillId="3" borderId="2" xfId="0" applyFill="1" applyBorder="1"/>
    <xf numFmtId="0" fontId="0" fillId="3" borderId="0" xfId="0" applyFill="1"/>
    <xf numFmtId="17" fontId="0" fillId="0" borderId="6" xfId="0" quotePrefix="1" applyNumberFormat="1" applyBorder="1"/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400051</xdr:colOff>
      <xdr:row>23</xdr:row>
      <xdr:rowOff>76200</xdr:rowOff>
    </xdr:from>
    <xdr:to>
      <xdr:col>12</xdr:col>
      <xdr:colOff>438151</xdr:colOff>
      <xdr:row>27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D4E3764-85F4-48E9-81FC-4E627BE9C59D}"/>
            </a:ext>
          </a:extLst>
        </xdr:cNvPr>
        <xdr:cNvSpPr/>
      </xdr:nvSpPr>
      <xdr:spPr>
        <a:xfrm>
          <a:off x="6934201" y="3829050"/>
          <a:ext cx="3086100" cy="7143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ysClr val="windowText" lastClr="000000"/>
              </a:solidFill>
            </a:rPr>
            <a:t>http://www.nber.org/cycles.html. The</a:t>
          </a:r>
          <a:r>
            <a:rPr lang="en-US" sz="1100" baseline="0">
              <a:solidFill>
                <a:sysClr val="windowText" lastClr="000000"/>
              </a:solidFill>
            </a:rPr>
            <a:t> economic contraction that began in 2020 actually peaked in 2019 Qtr IV by some measures.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152400</xdr:colOff>
      <xdr:row>2</xdr:row>
      <xdr:rowOff>19050</xdr:rowOff>
    </xdr:from>
    <xdr:to>
      <xdr:col>12</xdr:col>
      <xdr:colOff>542925</xdr:colOff>
      <xdr:row>12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6B2A359-F086-41D2-B935-830BA00DE295}"/>
            </a:ext>
          </a:extLst>
        </xdr:cNvPr>
        <xdr:cNvSpPr/>
      </xdr:nvSpPr>
      <xdr:spPr>
        <a:xfrm>
          <a:off x="6600825" y="371475"/>
          <a:ext cx="3438525" cy="16097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Definitions</a:t>
          </a:r>
          <a:r>
            <a:rPr lang="en-US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ctr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(cycle durations are in months)</a:t>
          </a:r>
        </a:p>
        <a:p>
          <a:pPr algn="ctr"/>
          <a:endParaRPr lang="en-US">
            <a:solidFill>
              <a:schemeClr val="tx1"/>
            </a:solidFill>
            <a:effectLst/>
          </a:endParaRP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P-T Contract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contraction peak to trough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T-P Expand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expansion previous trough to this peak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T-T Cycle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cycle trough from previous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trough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P-P Cycle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peak from previous peak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114300</xdr:colOff>
      <xdr:row>12</xdr:row>
      <xdr:rowOff>114300</xdr:rowOff>
    </xdr:from>
    <xdr:to>
      <xdr:col>11</xdr:col>
      <xdr:colOff>371214</xdr:colOff>
      <xdr:row>22</xdr:row>
      <xdr:rowOff>76002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61310F-7B33-439C-899F-A53FBC3A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2085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37"/>
  <sheetViews>
    <sheetView showGridLines="0" tabSelected="1" workbookViewId="0"/>
  </sheetViews>
  <sheetFormatPr defaultRowHeight="12.75" x14ac:dyDescent="0.2"/>
  <cols>
    <col min="1" max="1" width="4.42578125" customWidth="1"/>
    <col min="2" max="2" width="17.85546875" customWidth="1"/>
    <col min="3" max="3" width="20.5703125" customWidth="1"/>
    <col min="4" max="4" width="12.42578125" bestFit="1" customWidth="1"/>
    <col min="5" max="5" width="16.5703125" customWidth="1"/>
    <col min="6" max="6" width="13.5703125" customWidth="1"/>
    <col min="7" max="7" width="12.5703125" customWidth="1"/>
  </cols>
  <sheetData>
    <row r="1" spans="2:16" ht="15.75" x14ac:dyDescent="0.25">
      <c r="B1" s="9" t="s">
        <v>172</v>
      </c>
    </row>
    <row r="3" spans="2:16" x14ac:dyDescent="0.2">
      <c r="B3" s="10" t="s">
        <v>0</v>
      </c>
      <c r="C3" s="11" t="s">
        <v>1</v>
      </c>
      <c r="D3" s="12" t="s">
        <v>2</v>
      </c>
      <c r="E3" s="12" t="s">
        <v>3</v>
      </c>
      <c r="F3" s="12" t="s">
        <v>4</v>
      </c>
      <c r="G3" s="13" t="s">
        <v>5</v>
      </c>
    </row>
    <row r="4" spans="2:16" x14ac:dyDescent="0.2">
      <c r="B4" s="1" t="s">
        <v>132</v>
      </c>
      <c r="C4" s="2" t="s">
        <v>163</v>
      </c>
      <c r="D4" s="2">
        <v>18</v>
      </c>
      <c r="E4" s="2">
        <v>30</v>
      </c>
      <c r="F4" s="2">
        <v>48</v>
      </c>
      <c r="G4" s="3"/>
    </row>
    <row r="5" spans="2:16" x14ac:dyDescent="0.2">
      <c r="B5" s="4" t="s">
        <v>152</v>
      </c>
      <c r="C5" t="s">
        <v>133</v>
      </c>
      <c r="D5">
        <v>8</v>
      </c>
      <c r="E5">
        <v>22</v>
      </c>
      <c r="F5">
        <v>30</v>
      </c>
      <c r="G5" s="5">
        <v>40</v>
      </c>
    </row>
    <row r="6" spans="2:16" x14ac:dyDescent="0.2">
      <c r="B6" s="4" t="s">
        <v>128</v>
      </c>
      <c r="C6" t="s">
        <v>164</v>
      </c>
      <c r="D6">
        <v>32</v>
      </c>
      <c r="E6">
        <v>46</v>
      </c>
      <c r="F6">
        <v>78</v>
      </c>
      <c r="G6" s="5">
        <v>54</v>
      </c>
    </row>
    <row r="7" spans="2:16" x14ac:dyDescent="0.2">
      <c r="B7" s="4" t="s">
        <v>134</v>
      </c>
      <c r="C7" t="s">
        <v>165</v>
      </c>
      <c r="D7">
        <v>18</v>
      </c>
      <c r="E7">
        <v>18</v>
      </c>
      <c r="F7">
        <v>36</v>
      </c>
      <c r="G7" s="5">
        <v>50</v>
      </c>
    </row>
    <row r="8" spans="2:16" x14ac:dyDescent="0.2">
      <c r="B8" s="4" t="s">
        <v>153</v>
      </c>
      <c r="C8" t="s">
        <v>120</v>
      </c>
      <c r="D8">
        <v>65</v>
      </c>
      <c r="E8">
        <v>34</v>
      </c>
      <c r="F8">
        <v>99</v>
      </c>
      <c r="G8" s="5">
        <v>52</v>
      </c>
    </row>
    <row r="9" spans="2:16" x14ac:dyDescent="0.2">
      <c r="B9" s="4" t="s">
        <v>121</v>
      </c>
      <c r="C9" t="s">
        <v>17</v>
      </c>
      <c r="D9">
        <v>38</v>
      </c>
      <c r="E9">
        <v>36</v>
      </c>
      <c r="F9">
        <v>74</v>
      </c>
      <c r="G9" s="5">
        <v>101</v>
      </c>
    </row>
    <row r="10" spans="2:16" x14ac:dyDescent="0.2">
      <c r="B10" s="4" t="s">
        <v>122</v>
      </c>
      <c r="C10" t="s">
        <v>129</v>
      </c>
      <c r="D10">
        <v>13</v>
      </c>
      <c r="E10">
        <v>22</v>
      </c>
      <c r="F10">
        <v>35</v>
      </c>
      <c r="G10" s="5">
        <v>60</v>
      </c>
    </row>
    <row r="11" spans="2:16" x14ac:dyDescent="0.2">
      <c r="B11" s="4" t="s">
        <v>140</v>
      </c>
      <c r="C11" t="s">
        <v>21</v>
      </c>
      <c r="D11">
        <v>10</v>
      </c>
      <c r="E11">
        <v>27</v>
      </c>
      <c r="F11">
        <v>37</v>
      </c>
      <c r="G11" s="5">
        <v>40</v>
      </c>
    </row>
    <row r="12" spans="2:16" x14ac:dyDescent="0.2">
      <c r="B12" s="4" t="s">
        <v>112</v>
      </c>
      <c r="C12" t="s">
        <v>135</v>
      </c>
      <c r="D12">
        <v>17</v>
      </c>
      <c r="E12">
        <v>20</v>
      </c>
      <c r="F12">
        <v>37</v>
      </c>
      <c r="G12" s="5">
        <v>30</v>
      </c>
    </row>
    <row r="13" spans="2:16" x14ac:dyDescent="0.2">
      <c r="B13" s="4" t="s">
        <v>166</v>
      </c>
      <c r="C13" t="s">
        <v>136</v>
      </c>
      <c r="D13">
        <v>18</v>
      </c>
      <c r="E13">
        <v>18</v>
      </c>
      <c r="F13">
        <v>36</v>
      </c>
      <c r="G13" s="5">
        <v>35</v>
      </c>
    </row>
    <row r="14" spans="2:16" x14ac:dyDescent="0.2">
      <c r="B14" s="4" t="s">
        <v>137</v>
      </c>
      <c r="C14" t="s">
        <v>167</v>
      </c>
      <c r="D14">
        <v>18</v>
      </c>
      <c r="E14">
        <v>24</v>
      </c>
      <c r="F14">
        <v>42</v>
      </c>
      <c r="G14" s="5">
        <v>42</v>
      </c>
      <c r="P14" t="s">
        <v>109</v>
      </c>
    </row>
    <row r="15" spans="2:16" x14ac:dyDescent="0.2">
      <c r="B15" s="4" t="s">
        <v>151</v>
      </c>
      <c r="C15" t="s">
        <v>147</v>
      </c>
      <c r="D15">
        <v>23</v>
      </c>
      <c r="E15">
        <v>21</v>
      </c>
      <c r="F15">
        <v>44</v>
      </c>
      <c r="G15" s="5">
        <v>39</v>
      </c>
    </row>
    <row r="16" spans="2:16" x14ac:dyDescent="0.2">
      <c r="B16" s="4" t="s">
        <v>107</v>
      </c>
      <c r="C16" t="s">
        <v>138</v>
      </c>
      <c r="D16">
        <v>13</v>
      </c>
      <c r="E16">
        <v>33</v>
      </c>
      <c r="F16">
        <v>46</v>
      </c>
      <c r="G16" s="5">
        <v>56</v>
      </c>
    </row>
    <row r="17" spans="2:7" x14ac:dyDescent="0.2">
      <c r="B17" s="4" t="s">
        <v>113</v>
      </c>
      <c r="C17" t="s">
        <v>114</v>
      </c>
      <c r="D17">
        <v>24</v>
      </c>
      <c r="E17">
        <v>19</v>
      </c>
      <c r="F17">
        <v>43</v>
      </c>
      <c r="G17" s="5">
        <v>32</v>
      </c>
    </row>
    <row r="18" spans="2:7" x14ac:dyDescent="0.2">
      <c r="B18" s="4" t="s">
        <v>115</v>
      </c>
      <c r="C18" t="s">
        <v>168</v>
      </c>
      <c r="D18">
        <v>23</v>
      </c>
      <c r="E18">
        <v>12</v>
      </c>
      <c r="F18">
        <v>35</v>
      </c>
      <c r="G18" s="5">
        <v>36</v>
      </c>
    </row>
    <row r="19" spans="2:7" x14ac:dyDescent="0.2">
      <c r="B19" s="4" t="s">
        <v>148</v>
      </c>
      <c r="C19" t="s">
        <v>123</v>
      </c>
      <c r="D19">
        <v>7</v>
      </c>
      <c r="E19">
        <v>44</v>
      </c>
      <c r="F19">
        <v>51</v>
      </c>
      <c r="G19" s="5">
        <v>67</v>
      </c>
    </row>
    <row r="20" spans="2:7" x14ac:dyDescent="0.2">
      <c r="B20" s="4" t="s">
        <v>116</v>
      </c>
      <c r="C20" t="s">
        <v>141</v>
      </c>
      <c r="D20">
        <v>18</v>
      </c>
      <c r="E20">
        <v>10</v>
      </c>
      <c r="F20">
        <v>28</v>
      </c>
      <c r="G20" s="5">
        <v>17</v>
      </c>
    </row>
    <row r="21" spans="2:7" x14ac:dyDescent="0.2">
      <c r="B21" s="4" t="s">
        <v>108</v>
      </c>
      <c r="C21" t="s">
        <v>142</v>
      </c>
      <c r="D21">
        <v>14</v>
      </c>
      <c r="E21">
        <v>22</v>
      </c>
      <c r="F21">
        <v>36</v>
      </c>
      <c r="G21" s="5">
        <v>40</v>
      </c>
    </row>
    <row r="22" spans="2:7" x14ac:dyDescent="0.2">
      <c r="B22" s="4" t="s">
        <v>154</v>
      </c>
      <c r="C22" t="s">
        <v>157</v>
      </c>
      <c r="D22">
        <v>13</v>
      </c>
      <c r="E22">
        <v>27</v>
      </c>
      <c r="F22">
        <v>40</v>
      </c>
      <c r="G22" s="5">
        <v>41</v>
      </c>
    </row>
    <row r="23" spans="2:7" x14ac:dyDescent="0.2">
      <c r="B23" s="4" t="s">
        <v>149</v>
      </c>
      <c r="C23" t="s">
        <v>124</v>
      </c>
      <c r="D23">
        <v>43</v>
      </c>
      <c r="E23">
        <v>21</v>
      </c>
      <c r="F23">
        <v>64</v>
      </c>
      <c r="G23" s="5">
        <v>34</v>
      </c>
    </row>
    <row r="24" spans="2:7" x14ac:dyDescent="0.2">
      <c r="B24" s="4" t="s">
        <v>110</v>
      </c>
      <c r="C24" t="s">
        <v>139</v>
      </c>
      <c r="D24">
        <v>13</v>
      </c>
      <c r="E24">
        <v>50</v>
      </c>
      <c r="F24">
        <v>63</v>
      </c>
      <c r="G24" s="5">
        <v>93</v>
      </c>
    </row>
    <row r="25" spans="2:7" x14ac:dyDescent="0.2">
      <c r="B25" s="4" t="s">
        <v>118</v>
      </c>
      <c r="C25" t="s">
        <v>155</v>
      </c>
      <c r="D25">
        <v>8</v>
      </c>
      <c r="E25">
        <v>80</v>
      </c>
      <c r="F25">
        <v>88</v>
      </c>
      <c r="G25" s="5">
        <v>93</v>
      </c>
    </row>
    <row r="26" spans="2:7" x14ac:dyDescent="0.2">
      <c r="B26" s="4" t="s">
        <v>158</v>
      </c>
      <c r="C26" t="s">
        <v>156</v>
      </c>
      <c r="D26">
        <v>11</v>
      </c>
      <c r="E26">
        <v>37</v>
      </c>
      <c r="F26">
        <v>48</v>
      </c>
      <c r="G26" s="5">
        <v>45</v>
      </c>
    </row>
    <row r="27" spans="2:7" x14ac:dyDescent="0.2">
      <c r="B27" s="4" t="s">
        <v>143</v>
      </c>
      <c r="C27" t="s">
        <v>53</v>
      </c>
      <c r="D27">
        <v>10</v>
      </c>
      <c r="E27">
        <v>45</v>
      </c>
      <c r="F27">
        <v>55</v>
      </c>
      <c r="G27" s="5">
        <v>56</v>
      </c>
    </row>
    <row r="28" spans="2:7" x14ac:dyDescent="0.2">
      <c r="B28" s="4" t="s">
        <v>150</v>
      </c>
      <c r="C28" t="s">
        <v>130</v>
      </c>
      <c r="D28">
        <v>8</v>
      </c>
      <c r="E28">
        <v>39</v>
      </c>
      <c r="F28">
        <v>47</v>
      </c>
      <c r="G28" s="5">
        <v>49</v>
      </c>
    </row>
    <row r="29" spans="2:7" x14ac:dyDescent="0.2">
      <c r="B29" s="4" t="s">
        <v>131</v>
      </c>
      <c r="C29" t="s">
        <v>119</v>
      </c>
      <c r="D29">
        <v>10</v>
      </c>
      <c r="E29">
        <v>24</v>
      </c>
      <c r="F29">
        <v>34</v>
      </c>
      <c r="G29" s="5">
        <v>32</v>
      </c>
    </row>
    <row r="30" spans="2:7" x14ac:dyDescent="0.2">
      <c r="B30" s="4" t="s">
        <v>169</v>
      </c>
      <c r="C30" t="s">
        <v>159</v>
      </c>
      <c r="D30">
        <v>11</v>
      </c>
      <c r="E30">
        <v>106</v>
      </c>
      <c r="F30">
        <v>117</v>
      </c>
      <c r="G30" s="5">
        <v>116</v>
      </c>
    </row>
    <row r="31" spans="2:7" x14ac:dyDescent="0.2">
      <c r="B31" s="4" t="s">
        <v>160</v>
      </c>
      <c r="C31" t="s">
        <v>125</v>
      </c>
      <c r="D31">
        <v>16</v>
      </c>
      <c r="E31">
        <v>36</v>
      </c>
      <c r="F31">
        <v>52</v>
      </c>
      <c r="G31" s="5">
        <v>47</v>
      </c>
    </row>
    <row r="32" spans="2:7" x14ac:dyDescent="0.2">
      <c r="B32" s="4" t="s">
        <v>117</v>
      </c>
      <c r="C32" t="s">
        <v>144</v>
      </c>
      <c r="D32">
        <v>6</v>
      </c>
      <c r="E32">
        <v>58</v>
      </c>
      <c r="F32">
        <v>64</v>
      </c>
      <c r="G32" s="5">
        <v>74</v>
      </c>
    </row>
    <row r="33" spans="2:7" x14ac:dyDescent="0.2">
      <c r="B33" s="4" t="s">
        <v>145</v>
      </c>
      <c r="C33" t="s">
        <v>161</v>
      </c>
      <c r="D33">
        <v>16</v>
      </c>
      <c r="E33">
        <v>12</v>
      </c>
      <c r="F33">
        <v>28</v>
      </c>
      <c r="G33" s="5">
        <v>18</v>
      </c>
    </row>
    <row r="34" spans="2:7" x14ac:dyDescent="0.2">
      <c r="B34" s="4" t="s">
        <v>146</v>
      </c>
      <c r="C34" t="s">
        <v>126</v>
      </c>
      <c r="D34">
        <v>8</v>
      </c>
      <c r="E34">
        <v>92</v>
      </c>
      <c r="F34">
        <v>100</v>
      </c>
      <c r="G34" s="5">
        <v>108</v>
      </c>
    </row>
    <row r="35" spans="2:7" x14ac:dyDescent="0.2">
      <c r="B35" s="4" t="s">
        <v>127</v>
      </c>
      <c r="C35" t="s">
        <v>162</v>
      </c>
      <c r="D35">
        <v>8</v>
      </c>
      <c r="E35">
        <v>120</v>
      </c>
      <c r="F35">
        <v>128</v>
      </c>
      <c r="G35" s="5">
        <v>128</v>
      </c>
    </row>
    <row r="36" spans="2:7" x14ac:dyDescent="0.2">
      <c r="B36" s="4" t="s">
        <v>111</v>
      </c>
      <c r="C36" t="s">
        <v>71</v>
      </c>
      <c r="D36">
        <v>18</v>
      </c>
      <c r="E36">
        <v>73</v>
      </c>
      <c r="F36">
        <v>91</v>
      </c>
      <c r="G36" s="5">
        <v>81</v>
      </c>
    </row>
    <row r="37" spans="2:7" x14ac:dyDescent="0.2">
      <c r="B37" s="22" t="s">
        <v>171</v>
      </c>
      <c r="C37" s="7" t="s">
        <v>170</v>
      </c>
      <c r="D37" s="7">
        <v>2</v>
      </c>
      <c r="E37" s="7">
        <v>128</v>
      </c>
      <c r="F37" s="7">
        <v>130</v>
      </c>
      <c r="G37" s="8">
        <v>146</v>
      </c>
    </row>
  </sheetData>
  <phoneticPr fontId="0" type="noConversion"/>
  <pageMargins left="0.75" right="0.75" top="1" bottom="1" header="0.5" footer="0.5"/>
  <pageSetup scale="8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39"/>
  <sheetViews>
    <sheetView topLeftCell="D1" workbookViewId="0">
      <selection activeCell="U22" sqref="U22"/>
    </sheetView>
  </sheetViews>
  <sheetFormatPr defaultRowHeight="12.75" x14ac:dyDescent="0.2"/>
  <cols>
    <col min="2" max="2" width="13.85546875" customWidth="1"/>
    <col min="3" max="3" width="8.42578125" customWidth="1"/>
    <col min="4" max="4" width="9.5703125" customWidth="1"/>
    <col min="5" max="6" width="11.28515625" customWidth="1"/>
    <col min="7" max="10" width="16.85546875" customWidth="1"/>
    <col min="12" max="12" width="11" customWidth="1"/>
    <col min="14" max="14" width="21.7109375" customWidth="1"/>
    <col min="15" max="15" width="20.42578125" customWidth="1"/>
  </cols>
  <sheetData>
    <row r="1" spans="2:23" x14ac:dyDescent="0.2">
      <c r="B1" s="24" t="s">
        <v>72</v>
      </c>
      <c r="C1" s="24"/>
      <c r="D1" s="24"/>
      <c r="E1" s="24"/>
      <c r="F1" s="24"/>
      <c r="G1" s="14" t="s">
        <v>73</v>
      </c>
      <c r="H1" s="14" t="s">
        <v>74</v>
      </c>
      <c r="I1" s="24" t="s">
        <v>75</v>
      </c>
      <c r="J1" s="24"/>
      <c r="K1" s="24"/>
      <c r="L1" s="14"/>
      <c r="M1" s="14"/>
    </row>
    <row r="2" spans="2:23" ht="38.25" x14ac:dyDescent="0.2">
      <c r="B2" s="15" t="s">
        <v>76</v>
      </c>
      <c r="C2" s="15" t="s">
        <v>77</v>
      </c>
      <c r="D2" s="15" t="s">
        <v>78</v>
      </c>
      <c r="E2" s="15" t="s">
        <v>79</v>
      </c>
      <c r="F2" s="15" t="s">
        <v>80</v>
      </c>
      <c r="G2" s="15" t="s">
        <v>81</v>
      </c>
      <c r="H2" s="15" t="s">
        <v>82</v>
      </c>
      <c r="I2" s="15" t="s">
        <v>83</v>
      </c>
      <c r="J2" s="15" t="s">
        <v>84</v>
      </c>
      <c r="P2" s="19" t="s">
        <v>105</v>
      </c>
    </row>
    <row r="3" spans="2:23" x14ac:dyDescent="0.2">
      <c r="B3" s="16" t="s">
        <v>85</v>
      </c>
      <c r="C3" s="16" t="s">
        <v>85</v>
      </c>
      <c r="D3" s="16" t="s">
        <v>85</v>
      </c>
      <c r="E3" s="16" t="s">
        <v>86</v>
      </c>
      <c r="F3" s="16">
        <v>1854</v>
      </c>
      <c r="G3" s="16" t="s">
        <v>85</v>
      </c>
      <c r="H3" s="16" t="s">
        <v>85</v>
      </c>
      <c r="I3" s="16" t="s">
        <v>85</v>
      </c>
      <c r="J3" s="16" t="s">
        <v>85</v>
      </c>
      <c r="P3" s="19" t="s">
        <v>106</v>
      </c>
    </row>
    <row r="4" spans="2:23" x14ac:dyDescent="0.2">
      <c r="B4" s="16" t="s">
        <v>87</v>
      </c>
      <c r="C4" s="16">
        <v>1857</v>
      </c>
      <c r="D4" s="16">
        <v>2</v>
      </c>
      <c r="E4" s="16" t="s">
        <v>86</v>
      </c>
      <c r="F4" s="16">
        <v>1858</v>
      </c>
      <c r="G4" s="16">
        <v>18</v>
      </c>
      <c r="H4" s="16">
        <v>30</v>
      </c>
      <c r="I4" s="16">
        <v>48</v>
      </c>
      <c r="J4" s="16" t="s">
        <v>85</v>
      </c>
      <c r="L4" t="str">
        <f>CONCATENATE(LEFT(B4,3)," ",TEXT(C4,"0"))</f>
        <v>Jun 1857</v>
      </c>
      <c r="M4" t="str">
        <f>CONCATENATE(LEFT(E4,3)," ",TEXT(F4,"0"))</f>
        <v>Dec 1858</v>
      </c>
      <c r="N4" s="1" t="s">
        <v>6</v>
      </c>
      <c r="O4" s="2" t="s">
        <v>7</v>
      </c>
      <c r="P4" s="20">
        <v>18</v>
      </c>
      <c r="Q4" s="2">
        <v>30</v>
      </c>
      <c r="R4" s="2">
        <v>48</v>
      </c>
      <c r="S4" s="3"/>
      <c r="T4" t="str">
        <f>IF(G4=P4,"","YIPE")</f>
        <v/>
      </c>
      <c r="U4" t="str">
        <f>IF(H4=Q4,"","YIPE")</f>
        <v/>
      </c>
      <c r="V4" t="str">
        <f>IF(I4=R4,"","YIPE")</f>
        <v/>
      </c>
      <c r="W4" t="str">
        <f>IF(J4=S4,"","YIPE")</f>
        <v>YIPE</v>
      </c>
    </row>
    <row r="5" spans="2:23" x14ac:dyDescent="0.2">
      <c r="B5" s="17" t="s">
        <v>95</v>
      </c>
      <c r="C5" s="17">
        <v>1860</v>
      </c>
      <c r="D5" s="17">
        <v>3</v>
      </c>
      <c r="E5" s="17" t="s">
        <v>87</v>
      </c>
      <c r="F5" s="17">
        <v>1861</v>
      </c>
      <c r="G5" s="16">
        <v>8</v>
      </c>
      <c r="H5" s="16">
        <v>22</v>
      </c>
      <c r="I5" s="16">
        <v>30</v>
      </c>
      <c r="J5" s="16">
        <v>40</v>
      </c>
      <c r="L5" t="str">
        <f t="shared" ref="L5:L37" si="0">CONCATENATE(LEFT(B5,3)," ",TEXT(C5,"0"))</f>
        <v>Oct 1860</v>
      </c>
      <c r="M5" t="str">
        <f t="shared" ref="M5:M37" si="1">CONCATENATE(LEFT(E5,3)," ",TEXT(F5,"0"))</f>
        <v>Jun 1861</v>
      </c>
      <c r="N5" s="4" t="s">
        <v>8</v>
      </c>
      <c r="O5" t="s">
        <v>9</v>
      </c>
      <c r="P5" s="21">
        <v>8</v>
      </c>
      <c r="Q5">
        <v>22</v>
      </c>
      <c r="R5">
        <v>30</v>
      </c>
      <c r="S5" s="5">
        <v>40</v>
      </c>
      <c r="T5" t="str">
        <f t="shared" ref="T5:T36" si="2">IF(G5=P5,"","YIPE")</f>
        <v/>
      </c>
      <c r="U5" t="str">
        <f t="shared" ref="U5:U36" si="3">IF(H5=Q5,"","YIPE")</f>
        <v/>
      </c>
      <c r="V5" t="str">
        <f t="shared" ref="V5:V36" si="4">IF(I5=R5,"","YIPE")</f>
        <v/>
      </c>
      <c r="W5" t="str">
        <f t="shared" ref="W5:W36" si="5">IF(J5=S5,"","YIPE")</f>
        <v/>
      </c>
    </row>
    <row r="6" spans="2:23" x14ac:dyDescent="0.2">
      <c r="B6" s="17" t="s">
        <v>96</v>
      </c>
      <c r="C6" s="17">
        <v>1865</v>
      </c>
      <c r="D6" s="17">
        <v>1</v>
      </c>
      <c r="E6" s="17" t="s">
        <v>86</v>
      </c>
      <c r="F6" s="17">
        <v>1867</v>
      </c>
      <c r="G6" s="16">
        <v>32</v>
      </c>
      <c r="H6" s="16">
        <v>46</v>
      </c>
      <c r="I6" s="16">
        <v>78</v>
      </c>
      <c r="J6" s="16">
        <v>54</v>
      </c>
      <c r="L6" t="str">
        <f t="shared" si="0"/>
        <v>Apr 1865</v>
      </c>
      <c r="M6" t="str">
        <f t="shared" si="1"/>
        <v>Dec 1867</v>
      </c>
      <c r="N6" s="4" t="s">
        <v>10</v>
      </c>
      <c r="O6" t="s">
        <v>11</v>
      </c>
      <c r="P6" s="21">
        <v>32</v>
      </c>
      <c r="Q6">
        <v>46</v>
      </c>
      <c r="R6">
        <v>78</v>
      </c>
      <c r="S6" s="5">
        <v>54</v>
      </c>
      <c r="T6" t="str">
        <f t="shared" si="2"/>
        <v/>
      </c>
      <c r="U6" t="str">
        <f t="shared" si="3"/>
        <v/>
      </c>
      <c r="V6" t="str">
        <f t="shared" si="4"/>
        <v/>
      </c>
      <c r="W6" t="str">
        <f t="shared" si="5"/>
        <v/>
      </c>
    </row>
    <row r="7" spans="2:23" x14ac:dyDescent="0.2">
      <c r="B7" s="16" t="s">
        <v>87</v>
      </c>
      <c r="C7" s="16">
        <v>1869</v>
      </c>
      <c r="D7" s="16">
        <v>2</v>
      </c>
      <c r="E7" s="16" t="s">
        <v>86</v>
      </c>
      <c r="F7" s="16">
        <v>1870</v>
      </c>
      <c r="G7" s="16">
        <v>18</v>
      </c>
      <c r="H7" s="16">
        <v>18</v>
      </c>
      <c r="I7" s="16">
        <v>36</v>
      </c>
      <c r="J7" s="16">
        <v>50</v>
      </c>
      <c r="L7" t="str">
        <f t="shared" si="0"/>
        <v>Jun 1869</v>
      </c>
      <c r="M7" t="str">
        <f t="shared" si="1"/>
        <v>Dec 1870</v>
      </c>
      <c r="N7" s="4" t="s">
        <v>12</v>
      </c>
      <c r="O7" t="s">
        <v>13</v>
      </c>
      <c r="P7" s="21">
        <v>18</v>
      </c>
      <c r="Q7">
        <v>18</v>
      </c>
      <c r="R7">
        <v>36</v>
      </c>
      <c r="S7" s="5">
        <v>50</v>
      </c>
      <c r="T7" t="str">
        <f t="shared" si="2"/>
        <v/>
      </c>
      <c r="U7" t="str">
        <f t="shared" si="3"/>
        <v/>
      </c>
      <c r="V7" t="str">
        <f t="shared" si="4"/>
        <v/>
      </c>
      <c r="W7" t="str">
        <f t="shared" si="5"/>
        <v/>
      </c>
    </row>
    <row r="8" spans="2:23" x14ac:dyDescent="0.2">
      <c r="B8" s="17" t="s">
        <v>95</v>
      </c>
      <c r="C8" s="17">
        <v>1873</v>
      </c>
      <c r="D8" s="17">
        <v>3</v>
      </c>
      <c r="E8" s="16" t="s">
        <v>88</v>
      </c>
      <c r="F8" s="16">
        <v>1879</v>
      </c>
      <c r="G8" s="16">
        <v>65</v>
      </c>
      <c r="H8" s="16">
        <v>34</v>
      </c>
      <c r="I8" s="16">
        <v>99</v>
      </c>
      <c r="J8" s="16">
        <v>52</v>
      </c>
      <c r="L8" t="str">
        <f t="shared" si="0"/>
        <v>Oct 1873</v>
      </c>
      <c r="M8" t="str">
        <f t="shared" si="1"/>
        <v>Mar 1879</v>
      </c>
      <c r="N8" s="4" t="s">
        <v>14</v>
      </c>
      <c r="O8" t="s">
        <v>15</v>
      </c>
      <c r="P8" s="21">
        <v>65</v>
      </c>
      <c r="Q8">
        <v>34</v>
      </c>
      <c r="R8">
        <v>99</v>
      </c>
      <c r="S8" s="5">
        <v>52</v>
      </c>
      <c r="T8" t="str">
        <f t="shared" si="2"/>
        <v/>
      </c>
      <c r="U8" t="str">
        <f t="shared" si="3"/>
        <v/>
      </c>
      <c r="V8" t="str">
        <f t="shared" si="4"/>
        <v/>
      </c>
      <c r="W8" t="str">
        <f t="shared" si="5"/>
        <v/>
      </c>
    </row>
    <row r="9" spans="2:23" x14ac:dyDescent="0.2">
      <c r="B9" s="16" t="s">
        <v>88</v>
      </c>
      <c r="C9" s="16">
        <v>1882</v>
      </c>
      <c r="D9" s="16">
        <v>1</v>
      </c>
      <c r="E9" s="16" t="s">
        <v>89</v>
      </c>
      <c r="F9" s="16">
        <v>1885</v>
      </c>
      <c r="G9" s="16">
        <v>38</v>
      </c>
      <c r="H9" s="16">
        <v>36</v>
      </c>
      <c r="I9" s="16">
        <v>74</v>
      </c>
      <c r="J9" s="16">
        <v>101</v>
      </c>
      <c r="L9" t="str">
        <f t="shared" si="0"/>
        <v>Mar 1882</v>
      </c>
      <c r="M9" t="str">
        <f t="shared" si="1"/>
        <v>May 1885</v>
      </c>
      <c r="N9" s="4" t="s">
        <v>16</v>
      </c>
      <c r="O9" t="s">
        <v>17</v>
      </c>
      <c r="P9" s="21">
        <v>38</v>
      </c>
      <c r="Q9">
        <v>36</v>
      </c>
      <c r="R9">
        <v>74</v>
      </c>
      <c r="S9" s="5">
        <v>101</v>
      </c>
      <c r="T9" t="str">
        <f t="shared" si="2"/>
        <v/>
      </c>
      <c r="U9" t="str">
        <f t="shared" si="3"/>
        <v/>
      </c>
      <c r="V9" t="str">
        <f t="shared" si="4"/>
        <v/>
      </c>
      <c r="W9" t="str">
        <f t="shared" si="5"/>
        <v/>
      </c>
    </row>
    <row r="10" spans="2:23" x14ac:dyDescent="0.2">
      <c r="B10" s="17" t="s">
        <v>88</v>
      </c>
      <c r="C10" s="17">
        <v>1887</v>
      </c>
      <c r="D10" s="17">
        <v>2</v>
      </c>
      <c r="E10" s="17" t="s">
        <v>96</v>
      </c>
      <c r="F10" s="17">
        <v>1888</v>
      </c>
      <c r="G10" s="16">
        <v>13</v>
      </c>
      <c r="H10" s="16">
        <v>22</v>
      </c>
      <c r="I10" s="16">
        <v>35</v>
      </c>
      <c r="J10" s="16">
        <v>60</v>
      </c>
      <c r="L10" t="str">
        <f t="shared" si="0"/>
        <v>Mar 1887</v>
      </c>
      <c r="M10" t="str">
        <f t="shared" si="1"/>
        <v>Apr 1888</v>
      </c>
      <c r="N10" s="4" t="s">
        <v>18</v>
      </c>
      <c r="O10" t="s">
        <v>19</v>
      </c>
      <c r="P10" s="21">
        <v>13</v>
      </c>
      <c r="Q10">
        <v>22</v>
      </c>
      <c r="R10">
        <v>35</v>
      </c>
      <c r="S10" s="5">
        <v>60</v>
      </c>
      <c r="T10" t="str">
        <f t="shared" si="2"/>
        <v/>
      </c>
      <c r="U10" t="str">
        <f t="shared" si="3"/>
        <v/>
      </c>
      <c r="V10" t="str">
        <f t="shared" si="4"/>
        <v/>
      </c>
      <c r="W10" t="str">
        <f t="shared" si="5"/>
        <v/>
      </c>
    </row>
    <row r="11" spans="2:23" x14ac:dyDescent="0.2">
      <c r="B11" s="16" t="s">
        <v>90</v>
      </c>
      <c r="C11" s="16">
        <v>1890</v>
      </c>
      <c r="D11" s="16">
        <v>3</v>
      </c>
      <c r="E11" s="16" t="s">
        <v>89</v>
      </c>
      <c r="F11" s="16">
        <v>1891</v>
      </c>
      <c r="G11" s="16">
        <v>10</v>
      </c>
      <c r="H11" s="16">
        <v>27</v>
      </c>
      <c r="I11" s="16">
        <v>37</v>
      </c>
      <c r="J11" s="16">
        <v>40</v>
      </c>
      <c r="L11" t="str">
        <f t="shared" si="0"/>
        <v>Jul 1890</v>
      </c>
      <c r="M11" t="str">
        <f t="shared" si="1"/>
        <v>May 1891</v>
      </c>
      <c r="N11" s="4" t="s">
        <v>20</v>
      </c>
      <c r="O11" t="s">
        <v>21</v>
      </c>
      <c r="P11" s="21">
        <v>10</v>
      </c>
      <c r="Q11">
        <v>27</v>
      </c>
      <c r="R11">
        <v>37</v>
      </c>
      <c r="S11" s="5">
        <v>40</v>
      </c>
      <c r="T11" t="str">
        <f t="shared" si="2"/>
        <v/>
      </c>
      <c r="U11" t="str">
        <f t="shared" si="3"/>
        <v/>
      </c>
      <c r="V11" t="str">
        <f t="shared" si="4"/>
        <v/>
      </c>
      <c r="W11" t="str">
        <f t="shared" si="5"/>
        <v/>
      </c>
    </row>
    <row r="12" spans="2:23" x14ac:dyDescent="0.2">
      <c r="B12" s="16" t="s">
        <v>91</v>
      </c>
      <c r="C12" s="16">
        <v>1893</v>
      </c>
      <c r="D12" s="16">
        <v>1</v>
      </c>
      <c r="E12" s="16" t="s">
        <v>87</v>
      </c>
      <c r="F12" s="16">
        <v>1894</v>
      </c>
      <c r="G12" s="16">
        <v>17</v>
      </c>
      <c r="H12" s="16">
        <v>20</v>
      </c>
      <c r="I12" s="16">
        <v>37</v>
      </c>
      <c r="J12" s="16">
        <v>30</v>
      </c>
      <c r="L12" t="str">
        <f t="shared" si="0"/>
        <v>Jan 1893</v>
      </c>
      <c r="M12" t="str">
        <f t="shared" si="1"/>
        <v>Jun 1894</v>
      </c>
      <c r="N12" s="4" t="s">
        <v>22</v>
      </c>
      <c r="O12" t="s">
        <v>23</v>
      </c>
      <c r="P12" s="21">
        <v>17</v>
      </c>
      <c r="Q12">
        <v>20</v>
      </c>
      <c r="R12">
        <v>37</v>
      </c>
      <c r="S12" s="5">
        <v>30</v>
      </c>
      <c r="T12" t="str">
        <f t="shared" si="2"/>
        <v/>
      </c>
      <c r="U12" t="str">
        <f t="shared" si="3"/>
        <v/>
      </c>
      <c r="V12" t="str">
        <f t="shared" si="4"/>
        <v/>
      </c>
      <c r="W12" t="str">
        <f t="shared" si="5"/>
        <v/>
      </c>
    </row>
    <row r="13" spans="2:23" x14ac:dyDescent="0.2">
      <c r="B13" s="16" t="s">
        <v>86</v>
      </c>
      <c r="C13" s="16">
        <v>1895</v>
      </c>
      <c r="D13" s="16">
        <v>4</v>
      </c>
      <c r="E13" s="16" t="s">
        <v>87</v>
      </c>
      <c r="F13" s="16">
        <v>1897</v>
      </c>
      <c r="G13" s="16">
        <v>18</v>
      </c>
      <c r="H13" s="16">
        <v>18</v>
      </c>
      <c r="I13" s="16">
        <v>36</v>
      </c>
      <c r="J13" s="16">
        <v>35</v>
      </c>
      <c r="L13" t="str">
        <f t="shared" si="0"/>
        <v>Dec 1895</v>
      </c>
      <c r="M13" t="str">
        <f t="shared" si="1"/>
        <v>Jun 1897</v>
      </c>
      <c r="N13" s="4" t="s">
        <v>24</v>
      </c>
      <c r="O13" t="s">
        <v>25</v>
      </c>
      <c r="P13" s="21">
        <v>18</v>
      </c>
      <c r="Q13">
        <v>18</v>
      </c>
      <c r="R13">
        <v>36</v>
      </c>
      <c r="S13" s="5">
        <v>35</v>
      </c>
      <c r="T13" t="str">
        <f t="shared" si="2"/>
        <v/>
      </c>
      <c r="U13" t="str">
        <f t="shared" si="3"/>
        <v/>
      </c>
      <c r="V13" t="str">
        <f t="shared" si="4"/>
        <v/>
      </c>
      <c r="W13" t="str">
        <f t="shared" si="5"/>
        <v/>
      </c>
    </row>
    <row r="14" spans="2:23" x14ac:dyDescent="0.2">
      <c r="B14" s="17" t="s">
        <v>87</v>
      </c>
      <c r="C14" s="17">
        <v>1899</v>
      </c>
      <c r="D14" s="17">
        <v>3</v>
      </c>
      <c r="E14" s="16" t="s">
        <v>86</v>
      </c>
      <c r="F14" s="16">
        <v>1900</v>
      </c>
      <c r="G14" s="16">
        <v>18</v>
      </c>
      <c r="H14" s="16">
        <v>24</v>
      </c>
      <c r="I14" s="16">
        <v>42</v>
      </c>
      <c r="J14" s="16">
        <v>42</v>
      </c>
      <c r="L14" t="str">
        <f t="shared" si="0"/>
        <v>Jun 1899</v>
      </c>
      <c r="M14" t="str">
        <f t="shared" si="1"/>
        <v>Dec 1900</v>
      </c>
      <c r="N14" s="4" t="s">
        <v>26</v>
      </c>
      <c r="O14" t="s">
        <v>27</v>
      </c>
      <c r="P14" s="21">
        <v>18</v>
      </c>
      <c r="Q14">
        <v>24</v>
      </c>
      <c r="R14">
        <v>42</v>
      </c>
      <c r="S14" s="5">
        <v>42</v>
      </c>
      <c r="T14" t="str">
        <f t="shared" si="2"/>
        <v/>
      </c>
      <c r="U14" t="str">
        <f t="shared" si="3"/>
        <v/>
      </c>
      <c r="V14" t="str">
        <f t="shared" si="4"/>
        <v/>
      </c>
      <c r="W14" t="str">
        <f t="shared" si="5"/>
        <v/>
      </c>
    </row>
    <row r="15" spans="2:23" x14ac:dyDescent="0.2">
      <c r="B15" s="17" t="s">
        <v>104</v>
      </c>
      <c r="C15" s="17">
        <v>1902</v>
      </c>
      <c r="D15" s="17">
        <v>4</v>
      </c>
      <c r="E15" s="16" t="s">
        <v>92</v>
      </c>
      <c r="F15" s="16">
        <v>1904</v>
      </c>
      <c r="G15" s="16">
        <v>23</v>
      </c>
      <c r="H15" s="16">
        <v>21</v>
      </c>
      <c r="I15" s="16">
        <v>44</v>
      </c>
      <c r="J15" s="16">
        <v>39</v>
      </c>
      <c r="L15" t="str">
        <f t="shared" si="0"/>
        <v>Sep 1902</v>
      </c>
      <c r="M15" t="str">
        <f t="shared" si="1"/>
        <v>Aug 1904</v>
      </c>
      <c r="N15" s="4" t="s">
        <v>28</v>
      </c>
      <c r="O15" t="s">
        <v>29</v>
      </c>
      <c r="P15" s="21">
        <v>23</v>
      </c>
      <c r="Q15">
        <v>21</v>
      </c>
      <c r="R15">
        <v>44</v>
      </c>
      <c r="S15" s="5">
        <v>39</v>
      </c>
      <c r="T15" t="str">
        <f t="shared" si="2"/>
        <v/>
      </c>
      <c r="U15" t="str">
        <f t="shared" si="3"/>
        <v/>
      </c>
      <c r="V15" t="str">
        <f t="shared" si="4"/>
        <v/>
      </c>
      <c r="W15" t="str">
        <f t="shared" si="5"/>
        <v/>
      </c>
    </row>
    <row r="16" spans="2:23" x14ac:dyDescent="0.2">
      <c r="B16" s="16" t="s">
        <v>89</v>
      </c>
      <c r="C16" s="16">
        <v>1907</v>
      </c>
      <c r="D16" s="16">
        <v>2</v>
      </c>
      <c r="E16" s="16" t="s">
        <v>87</v>
      </c>
      <c r="F16" s="16">
        <v>1908</v>
      </c>
      <c r="G16" s="16">
        <v>13</v>
      </c>
      <c r="H16" s="16">
        <v>33</v>
      </c>
      <c r="I16" s="16">
        <v>46</v>
      </c>
      <c r="J16" s="16">
        <v>56</v>
      </c>
      <c r="L16" t="str">
        <f t="shared" si="0"/>
        <v>May 1907</v>
      </c>
      <c r="M16" t="str">
        <f t="shared" si="1"/>
        <v>Jun 1908</v>
      </c>
      <c r="N16" s="4" t="s">
        <v>30</v>
      </c>
      <c r="O16" t="s">
        <v>31</v>
      </c>
      <c r="P16" s="21">
        <v>13</v>
      </c>
      <c r="Q16">
        <v>33</v>
      </c>
      <c r="R16">
        <v>46</v>
      </c>
      <c r="S16" s="5">
        <v>56</v>
      </c>
      <c r="T16" t="str">
        <f t="shared" si="2"/>
        <v/>
      </c>
      <c r="U16" t="str">
        <f t="shared" si="3"/>
        <v/>
      </c>
      <c r="V16" t="str">
        <f t="shared" si="4"/>
        <v/>
      </c>
      <c r="W16" t="str">
        <f t="shared" si="5"/>
        <v/>
      </c>
    </row>
    <row r="17" spans="2:23" x14ac:dyDescent="0.2">
      <c r="B17" s="16" t="s">
        <v>91</v>
      </c>
      <c r="C17" s="16">
        <v>1910</v>
      </c>
      <c r="D17" s="16">
        <v>1</v>
      </c>
      <c r="E17" s="17" t="s">
        <v>91</v>
      </c>
      <c r="F17" s="17">
        <v>1912</v>
      </c>
      <c r="G17" s="16">
        <v>24</v>
      </c>
      <c r="H17" s="16">
        <v>19</v>
      </c>
      <c r="I17" s="16">
        <v>43</v>
      </c>
      <c r="J17" s="16">
        <v>32</v>
      </c>
      <c r="L17" t="str">
        <f t="shared" si="0"/>
        <v>Jan 1910</v>
      </c>
      <c r="M17" t="str">
        <f t="shared" si="1"/>
        <v>Jan 1912</v>
      </c>
      <c r="N17" s="4" t="s">
        <v>32</v>
      </c>
      <c r="O17" t="s">
        <v>33</v>
      </c>
      <c r="P17" s="21">
        <v>24</v>
      </c>
      <c r="Q17">
        <v>19</v>
      </c>
      <c r="R17">
        <v>43</v>
      </c>
      <c r="S17" s="5">
        <v>32</v>
      </c>
      <c r="T17" t="str">
        <f t="shared" si="2"/>
        <v/>
      </c>
      <c r="U17" t="str">
        <f t="shared" si="3"/>
        <v/>
      </c>
      <c r="V17" t="str">
        <f t="shared" si="4"/>
        <v/>
      </c>
      <c r="W17" t="str">
        <f t="shared" si="5"/>
        <v/>
      </c>
    </row>
    <row r="18" spans="2:23" x14ac:dyDescent="0.2">
      <c r="B18" s="16" t="s">
        <v>91</v>
      </c>
      <c r="C18" s="16">
        <v>1913</v>
      </c>
      <c r="D18" s="16">
        <v>1</v>
      </c>
      <c r="E18" s="16" t="s">
        <v>86</v>
      </c>
      <c r="F18" s="16">
        <v>1914</v>
      </c>
      <c r="G18" s="16">
        <v>23</v>
      </c>
      <c r="H18" s="16">
        <v>12</v>
      </c>
      <c r="I18" s="16">
        <v>35</v>
      </c>
      <c r="J18" s="16">
        <v>36</v>
      </c>
      <c r="L18" t="str">
        <f t="shared" si="0"/>
        <v>Jan 1913</v>
      </c>
      <c r="M18" t="str">
        <f t="shared" si="1"/>
        <v>Dec 1914</v>
      </c>
      <c r="N18" s="4" t="s">
        <v>34</v>
      </c>
      <c r="O18" t="s">
        <v>35</v>
      </c>
      <c r="P18" s="21">
        <v>23</v>
      </c>
      <c r="Q18">
        <v>12</v>
      </c>
      <c r="R18">
        <v>35</v>
      </c>
      <c r="S18" s="5">
        <v>36</v>
      </c>
      <c r="T18" t="str">
        <f t="shared" si="2"/>
        <v/>
      </c>
      <c r="U18" t="str">
        <f t="shared" si="3"/>
        <v/>
      </c>
      <c r="V18" t="str">
        <f t="shared" si="4"/>
        <v/>
      </c>
      <c r="W18" t="str">
        <f t="shared" si="5"/>
        <v/>
      </c>
    </row>
    <row r="19" spans="2:23" x14ac:dyDescent="0.2">
      <c r="B19" s="16" t="s">
        <v>92</v>
      </c>
      <c r="C19" s="16">
        <v>1918</v>
      </c>
      <c r="D19" s="16">
        <v>3</v>
      </c>
      <c r="E19" s="16" t="s">
        <v>88</v>
      </c>
      <c r="F19" s="16">
        <v>1919</v>
      </c>
      <c r="G19" s="16">
        <v>7</v>
      </c>
      <c r="H19" s="16">
        <v>44</v>
      </c>
      <c r="I19" s="16">
        <v>51</v>
      </c>
      <c r="J19" s="16">
        <v>67</v>
      </c>
      <c r="L19" t="str">
        <f t="shared" si="0"/>
        <v>Aug 1918</v>
      </c>
      <c r="M19" t="str">
        <f t="shared" si="1"/>
        <v>Mar 1919</v>
      </c>
      <c r="N19" s="4" t="s">
        <v>36</v>
      </c>
      <c r="O19" t="s">
        <v>37</v>
      </c>
      <c r="P19" s="21">
        <v>7</v>
      </c>
      <c r="Q19">
        <v>44</v>
      </c>
      <c r="R19">
        <v>51</v>
      </c>
      <c r="S19" s="5">
        <v>67</v>
      </c>
      <c r="T19" t="str">
        <f t="shared" si="2"/>
        <v/>
      </c>
      <c r="U19" t="str">
        <f t="shared" si="3"/>
        <v/>
      </c>
      <c r="V19" t="str">
        <f t="shared" si="4"/>
        <v/>
      </c>
      <c r="W19" t="str">
        <f t="shared" si="5"/>
        <v/>
      </c>
    </row>
    <row r="20" spans="2:23" x14ac:dyDescent="0.2">
      <c r="B20" s="16" t="s">
        <v>91</v>
      </c>
      <c r="C20" s="16">
        <v>1920</v>
      </c>
      <c r="D20" s="16">
        <v>1</v>
      </c>
      <c r="E20" s="16" t="s">
        <v>90</v>
      </c>
      <c r="F20" s="16">
        <v>1921</v>
      </c>
      <c r="G20" s="16">
        <v>18</v>
      </c>
      <c r="H20" s="16">
        <v>10</v>
      </c>
      <c r="I20" s="16">
        <v>28</v>
      </c>
      <c r="J20" s="16">
        <v>17</v>
      </c>
      <c r="L20" t="str">
        <f t="shared" si="0"/>
        <v>Jan 1920</v>
      </c>
      <c r="M20" t="str">
        <f t="shared" si="1"/>
        <v>Jul 1921</v>
      </c>
      <c r="N20" s="4" t="s">
        <v>38</v>
      </c>
      <c r="O20" t="s">
        <v>39</v>
      </c>
      <c r="P20" s="21">
        <v>18</v>
      </c>
      <c r="Q20">
        <v>10</v>
      </c>
      <c r="R20">
        <v>28</v>
      </c>
      <c r="S20" s="5">
        <v>17</v>
      </c>
      <c r="T20" t="str">
        <f t="shared" si="2"/>
        <v/>
      </c>
      <c r="U20" t="str">
        <f t="shared" si="3"/>
        <v/>
      </c>
      <c r="V20" t="str">
        <f t="shared" si="4"/>
        <v/>
      </c>
      <c r="W20" t="str">
        <f t="shared" si="5"/>
        <v/>
      </c>
    </row>
    <row r="21" spans="2:23" x14ac:dyDescent="0.2">
      <c r="B21" s="16" t="s">
        <v>89</v>
      </c>
      <c r="C21" s="16">
        <v>1923</v>
      </c>
      <c r="D21" s="16">
        <v>2</v>
      </c>
      <c r="E21" s="16" t="s">
        <v>90</v>
      </c>
      <c r="F21" s="16">
        <v>1924</v>
      </c>
      <c r="G21" s="16">
        <v>14</v>
      </c>
      <c r="H21" s="16">
        <v>22</v>
      </c>
      <c r="I21" s="16">
        <v>36</v>
      </c>
      <c r="J21" s="16">
        <v>40</v>
      </c>
      <c r="L21" t="str">
        <f t="shared" si="0"/>
        <v>May 1923</v>
      </c>
      <c r="M21" t="str">
        <f t="shared" si="1"/>
        <v>Jul 1924</v>
      </c>
      <c r="N21" s="4" t="s">
        <v>40</v>
      </c>
      <c r="O21" t="s">
        <v>41</v>
      </c>
      <c r="P21" s="21">
        <v>14</v>
      </c>
      <c r="Q21">
        <v>22</v>
      </c>
      <c r="R21">
        <v>36</v>
      </c>
      <c r="S21" s="5">
        <v>40</v>
      </c>
      <c r="T21" t="str">
        <f t="shared" si="2"/>
        <v/>
      </c>
      <c r="U21" t="str">
        <f t="shared" si="3"/>
        <v/>
      </c>
      <c r="V21" t="str">
        <f t="shared" si="4"/>
        <v/>
      </c>
      <c r="W21" t="str">
        <f t="shared" si="5"/>
        <v/>
      </c>
    </row>
    <row r="22" spans="2:23" x14ac:dyDescent="0.2">
      <c r="B22" s="17" t="s">
        <v>95</v>
      </c>
      <c r="C22" s="17">
        <v>1926</v>
      </c>
      <c r="D22" s="17">
        <v>3</v>
      </c>
      <c r="E22" s="16" t="s">
        <v>93</v>
      </c>
      <c r="F22" s="16">
        <v>1927</v>
      </c>
      <c r="G22" s="16">
        <v>13</v>
      </c>
      <c r="H22" s="16">
        <v>27</v>
      </c>
      <c r="I22" s="16">
        <v>40</v>
      </c>
      <c r="J22" s="16">
        <v>41</v>
      </c>
      <c r="L22" t="str">
        <f t="shared" si="0"/>
        <v>Oct 1926</v>
      </c>
      <c r="M22" t="str">
        <f t="shared" si="1"/>
        <v>Nov 1927</v>
      </c>
      <c r="N22" s="4" t="s">
        <v>42</v>
      </c>
      <c r="O22" t="s">
        <v>43</v>
      </c>
      <c r="P22" s="21">
        <v>13</v>
      </c>
      <c r="Q22">
        <v>27</v>
      </c>
      <c r="R22">
        <v>40</v>
      </c>
      <c r="S22" s="5">
        <v>41</v>
      </c>
      <c r="T22" t="str">
        <f t="shared" si="2"/>
        <v/>
      </c>
      <c r="U22" t="str">
        <f t="shared" si="3"/>
        <v/>
      </c>
      <c r="V22" t="str">
        <f t="shared" si="4"/>
        <v/>
      </c>
      <c r="W22" t="str">
        <f t="shared" si="5"/>
        <v/>
      </c>
    </row>
    <row r="23" spans="2:23" x14ac:dyDescent="0.2">
      <c r="B23" s="16" t="s">
        <v>92</v>
      </c>
      <c r="C23" s="16">
        <v>1929</v>
      </c>
      <c r="D23" s="16">
        <v>3</v>
      </c>
      <c r="E23" s="16" t="s">
        <v>88</v>
      </c>
      <c r="F23" s="16">
        <v>1933</v>
      </c>
      <c r="G23" s="16">
        <v>43</v>
      </c>
      <c r="H23" s="16">
        <v>21</v>
      </c>
      <c r="I23" s="16">
        <v>64</v>
      </c>
      <c r="J23" s="16">
        <v>34</v>
      </c>
      <c r="L23" t="str">
        <f t="shared" si="0"/>
        <v>Aug 1929</v>
      </c>
      <c r="M23" t="str">
        <f t="shared" si="1"/>
        <v>Mar 1933</v>
      </c>
      <c r="N23" s="4" t="s">
        <v>44</v>
      </c>
      <c r="O23" t="s">
        <v>45</v>
      </c>
      <c r="P23" s="21">
        <v>43</v>
      </c>
      <c r="Q23">
        <v>21</v>
      </c>
      <c r="R23">
        <v>64</v>
      </c>
      <c r="S23" s="5">
        <v>34</v>
      </c>
      <c r="T23" t="str">
        <f t="shared" si="2"/>
        <v/>
      </c>
      <c r="U23" t="str">
        <f t="shared" si="3"/>
        <v/>
      </c>
      <c r="V23" t="str">
        <f t="shared" si="4"/>
        <v/>
      </c>
      <c r="W23" t="str">
        <f t="shared" si="5"/>
        <v/>
      </c>
    </row>
    <row r="24" spans="2:23" x14ac:dyDescent="0.2">
      <c r="B24" s="16" t="s">
        <v>89</v>
      </c>
      <c r="C24" s="16">
        <v>1937</v>
      </c>
      <c r="D24" s="16">
        <v>2</v>
      </c>
      <c r="E24" s="16" t="s">
        <v>87</v>
      </c>
      <c r="F24" s="16">
        <v>1938</v>
      </c>
      <c r="G24" s="16">
        <v>13</v>
      </c>
      <c r="H24" s="16">
        <v>50</v>
      </c>
      <c r="I24" s="16">
        <v>63</v>
      </c>
      <c r="J24" s="16">
        <v>93</v>
      </c>
      <c r="L24" t="str">
        <f t="shared" si="0"/>
        <v>May 1937</v>
      </c>
      <c r="M24" t="str">
        <f t="shared" si="1"/>
        <v>Jun 1938</v>
      </c>
      <c r="N24" s="4" t="s">
        <v>46</v>
      </c>
      <c r="O24" t="s">
        <v>47</v>
      </c>
      <c r="P24" s="21">
        <v>13</v>
      </c>
      <c r="Q24">
        <v>50</v>
      </c>
      <c r="R24">
        <v>63</v>
      </c>
      <c r="S24" s="5">
        <v>93</v>
      </c>
      <c r="T24" t="str">
        <f t="shared" si="2"/>
        <v/>
      </c>
      <c r="U24" t="str">
        <f t="shared" si="3"/>
        <v/>
      </c>
      <c r="V24" t="str">
        <f t="shared" si="4"/>
        <v/>
      </c>
      <c r="W24" t="str">
        <f t="shared" si="5"/>
        <v/>
      </c>
    </row>
    <row r="25" spans="2:23" x14ac:dyDescent="0.2">
      <c r="B25" s="16" t="s">
        <v>94</v>
      </c>
      <c r="C25" s="16">
        <v>1945</v>
      </c>
      <c r="D25" s="16">
        <v>1</v>
      </c>
      <c r="E25" s="16" t="s">
        <v>95</v>
      </c>
      <c r="F25" s="16">
        <v>1945</v>
      </c>
      <c r="G25" s="16">
        <v>8</v>
      </c>
      <c r="H25" s="16">
        <v>80</v>
      </c>
      <c r="I25" s="16">
        <v>88</v>
      </c>
      <c r="J25" s="16">
        <v>93</v>
      </c>
      <c r="L25" t="str">
        <f t="shared" si="0"/>
        <v>Feb 1945</v>
      </c>
      <c r="M25" t="str">
        <f t="shared" si="1"/>
        <v>Oct 1945</v>
      </c>
      <c r="N25" s="4" t="s">
        <v>48</v>
      </c>
      <c r="O25" t="s">
        <v>49</v>
      </c>
      <c r="P25" s="21">
        <v>8</v>
      </c>
      <c r="Q25">
        <v>80</v>
      </c>
      <c r="R25">
        <v>88</v>
      </c>
      <c r="S25" s="5">
        <v>93</v>
      </c>
      <c r="T25" t="str">
        <f t="shared" si="2"/>
        <v/>
      </c>
      <c r="U25" t="str">
        <f t="shared" si="3"/>
        <v/>
      </c>
      <c r="V25" t="str">
        <f t="shared" si="4"/>
        <v/>
      </c>
      <c r="W25" t="str">
        <f t="shared" si="5"/>
        <v/>
      </c>
    </row>
    <row r="26" spans="2:23" x14ac:dyDescent="0.2">
      <c r="B26" s="16" t="s">
        <v>93</v>
      </c>
      <c r="C26" s="16">
        <v>1948</v>
      </c>
      <c r="D26" s="16">
        <v>4</v>
      </c>
      <c r="E26" s="16" t="s">
        <v>95</v>
      </c>
      <c r="F26" s="16">
        <v>1949</v>
      </c>
      <c r="G26" s="16">
        <v>11</v>
      </c>
      <c r="H26" s="16">
        <v>37</v>
      </c>
      <c r="I26" s="16">
        <v>48</v>
      </c>
      <c r="J26" s="16">
        <v>45</v>
      </c>
      <c r="L26" t="str">
        <f t="shared" si="0"/>
        <v>Nov 1948</v>
      </c>
      <c r="M26" t="str">
        <f t="shared" si="1"/>
        <v>Oct 1949</v>
      </c>
      <c r="N26" s="4" t="s">
        <v>50</v>
      </c>
      <c r="O26" t="s">
        <v>51</v>
      </c>
      <c r="P26" s="21">
        <v>11</v>
      </c>
      <c r="Q26">
        <v>37</v>
      </c>
      <c r="R26">
        <v>48</v>
      </c>
      <c r="S26" s="5">
        <v>45</v>
      </c>
      <c r="T26" t="str">
        <f t="shared" si="2"/>
        <v/>
      </c>
      <c r="U26" t="str">
        <f t="shared" si="3"/>
        <v/>
      </c>
      <c r="V26" t="str">
        <f t="shared" si="4"/>
        <v/>
      </c>
      <c r="W26" t="str">
        <f t="shared" si="5"/>
        <v/>
      </c>
    </row>
    <row r="27" spans="2:23" x14ac:dyDescent="0.2">
      <c r="B27" s="17" t="s">
        <v>90</v>
      </c>
      <c r="C27" s="17">
        <v>1953</v>
      </c>
      <c r="D27" s="17">
        <v>2</v>
      </c>
      <c r="E27" s="16" t="s">
        <v>89</v>
      </c>
      <c r="F27" s="16">
        <v>1954</v>
      </c>
      <c r="G27" s="16">
        <v>10</v>
      </c>
      <c r="H27" s="16">
        <v>45</v>
      </c>
      <c r="I27" s="16">
        <v>55</v>
      </c>
      <c r="J27" s="16">
        <v>56</v>
      </c>
      <c r="L27" t="str">
        <f t="shared" si="0"/>
        <v>Jul 1953</v>
      </c>
      <c r="M27" t="str">
        <f t="shared" si="1"/>
        <v>May 1954</v>
      </c>
      <c r="N27" s="4" t="s">
        <v>52</v>
      </c>
      <c r="O27" t="s">
        <v>53</v>
      </c>
      <c r="P27" s="21">
        <v>10</v>
      </c>
      <c r="Q27">
        <v>45</v>
      </c>
      <c r="R27">
        <v>55</v>
      </c>
      <c r="S27" s="5">
        <v>56</v>
      </c>
      <c r="T27" t="str">
        <f t="shared" si="2"/>
        <v/>
      </c>
      <c r="U27" t="str">
        <f t="shared" si="3"/>
        <v/>
      </c>
      <c r="V27" t="str">
        <f t="shared" si="4"/>
        <v/>
      </c>
      <c r="W27" t="str">
        <f t="shared" si="5"/>
        <v/>
      </c>
    </row>
    <row r="28" spans="2:23" x14ac:dyDescent="0.2">
      <c r="B28" s="16" t="s">
        <v>92</v>
      </c>
      <c r="C28" s="16">
        <v>1957</v>
      </c>
      <c r="D28" s="16">
        <v>3</v>
      </c>
      <c r="E28" s="16" t="s">
        <v>96</v>
      </c>
      <c r="F28" s="16">
        <v>1958</v>
      </c>
      <c r="G28" s="16">
        <v>8</v>
      </c>
      <c r="H28" s="16">
        <v>39</v>
      </c>
      <c r="I28" s="16">
        <v>47</v>
      </c>
      <c r="J28" s="16">
        <v>49</v>
      </c>
      <c r="L28" t="str">
        <f t="shared" si="0"/>
        <v>Aug 1957</v>
      </c>
      <c r="M28" t="str">
        <f t="shared" si="1"/>
        <v>Apr 1958</v>
      </c>
      <c r="N28" s="4" t="s">
        <v>54</v>
      </c>
      <c r="O28" t="s">
        <v>55</v>
      </c>
      <c r="P28" s="21">
        <v>8</v>
      </c>
      <c r="Q28">
        <v>39</v>
      </c>
      <c r="R28">
        <v>47</v>
      </c>
      <c r="S28" s="5">
        <v>49</v>
      </c>
      <c r="T28" t="str">
        <f t="shared" si="2"/>
        <v/>
      </c>
      <c r="U28" t="str">
        <f t="shared" si="3"/>
        <v/>
      </c>
      <c r="V28" t="str">
        <f t="shared" si="4"/>
        <v/>
      </c>
      <c r="W28" t="str">
        <f t="shared" si="5"/>
        <v/>
      </c>
    </row>
    <row r="29" spans="2:23" x14ac:dyDescent="0.2">
      <c r="B29" s="16" t="s">
        <v>96</v>
      </c>
      <c r="C29" s="16">
        <v>1960</v>
      </c>
      <c r="D29" s="16">
        <v>2</v>
      </c>
      <c r="E29" s="16" t="s">
        <v>94</v>
      </c>
      <c r="F29" s="16">
        <v>1961</v>
      </c>
      <c r="G29" s="16">
        <v>10</v>
      </c>
      <c r="H29" s="16">
        <v>24</v>
      </c>
      <c r="I29" s="16">
        <v>34</v>
      </c>
      <c r="J29" s="16">
        <v>32</v>
      </c>
      <c r="L29" t="str">
        <f t="shared" si="0"/>
        <v>Apr 1960</v>
      </c>
      <c r="M29" t="str">
        <f t="shared" si="1"/>
        <v>Feb 1961</v>
      </c>
      <c r="N29" s="4" t="s">
        <v>56</v>
      </c>
      <c r="O29" t="s">
        <v>57</v>
      </c>
      <c r="P29" s="21">
        <v>10</v>
      </c>
      <c r="Q29">
        <v>24</v>
      </c>
      <c r="R29">
        <v>34</v>
      </c>
      <c r="S29" s="5">
        <v>32</v>
      </c>
      <c r="T29" t="str">
        <f t="shared" si="2"/>
        <v/>
      </c>
      <c r="U29" t="str">
        <f t="shared" si="3"/>
        <v/>
      </c>
      <c r="V29" t="str">
        <f t="shared" si="4"/>
        <v/>
      </c>
      <c r="W29" t="str">
        <f t="shared" si="5"/>
        <v/>
      </c>
    </row>
    <row r="30" spans="2:23" x14ac:dyDescent="0.2">
      <c r="B30" s="16" t="s">
        <v>86</v>
      </c>
      <c r="C30" s="16">
        <v>1969</v>
      </c>
      <c r="D30" s="16">
        <v>4</v>
      </c>
      <c r="E30" s="16" t="s">
        <v>93</v>
      </c>
      <c r="F30" s="16">
        <v>1970</v>
      </c>
      <c r="G30" s="16">
        <v>11</v>
      </c>
      <c r="H30" s="16">
        <v>106</v>
      </c>
      <c r="I30" s="16">
        <v>117</v>
      </c>
      <c r="J30" s="16">
        <v>116</v>
      </c>
      <c r="L30" t="str">
        <f t="shared" si="0"/>
        <v>Dec 1969</v>
      </c>
      <c r="M30" t="str">
        <f t="shared" si="1"/>
        <v>Nov 1970</v>
      </c>
      <c r="N30" s="4" t="s">
        <v>58</v>
      </c>
      <c r="O30" t="s">
        <v>59</v>
      </c>
      <c r="P30" s="21">
        <v>11</v>
      </c>
      <c r="Q30">
        <v>106</v>
      </c>
      <c r="R30">
        <v>117</v>
      </c>
      <c r="S30" s="5">
        <v>116</v>
      </c>
      <c r="T30" t="str">
        <f t="shared" si="2"/>
        <v/>
      </c>
      <c r="U30" t="str">
        <f t="shared" si="3"/>
        <v/>
      </c>
      <c r="V30" t="str">
        <f t="shared" si="4"/>
        <v/>
      </c>
      <c r="W30" t="str">
        <f t="shared" si="5"/>
        <v/>
      </c>
    </row>
    <row r="31" spans="2:23" x14ac:dyDescent="0.2">
      <c r="B31" s="16" t="s">
        <v>93</v>
      </c>
      <c r="C31" s="16">
        <v>1973</v>
      </c>
      <c r="D31" s="16">
        <v>4</v>
      </c>
      <c r="E31" s="16" t="s">
        <v>88</v>
      </c>
      <c r="F31" s="16">
        <v>1975</v>
      </c>
      <c r="G31" s="16">
        <v>16</v>
      </c>
      <c r="H31" s="16">
        <v>36</v>
      </c>
      <c r="I31" s="16">
        <v>52</v>
      </c>
      <c r="J31" s="16">
        <v>47</v>
      </c>
      <c r="L31" t="str">
        <f t="shared" si="0"/>
        <v>Nov 1973</v>
      </c>
      <c r="M31" t="str">
        <f t="shared" si="1"/>
        <v>Mar 1975</v>
      </c>
      <c r="N31" s="4" t="s">
        <v>60</v>
      </c>
      <c r="O31" t="s">
        <v>61</v>
      </c>
      <c r="P31" s="21">
        <v>16</v>
      </c>
      <c r="Q31">
        <v>36</v>
      </c>
      <c r="R31">
        <v>52</v>
      </c>
      <c r="S31" s="5">
        <v>47</v>
      </c>
      <c r="T31" t="str">
        <f t="shared" si="2"/>
        <v/>
      </c>
      <c r="U31" t="str">
        <f t="shared" si="3"/>
        <v/>
      </c>
      <c r="V31" t="str">
        <f t="shared" si="4"/>
        <v/>
      </c>
      <c r="W31" t="str">
        <f t="shared" si="5"/>
        <v/>
      </c>
    </row>
    <row r="32" spans="2:23" x14ac:dyDescent="0.2">
      <c r="B32" s="16" t="s">
        <v>91</v>
      </c>
      <c r="C32" s="16">
        <v>1980</v>
      </c>
      <c r="D32" s="16">
        <v>1</v>
      </c>
      <c r="E32" s="16" t="s">
        <v>90</v>
      </c>
      <c r="F32" s="16">
        <v>1980</v>
      </c>
      <c r="G32" s="16">
        <v>6</v>
      </c>
      <c r="H32" s="16">
        <v>58</v>
      </c>
      <c r="I32" s="16">
        <v>64</v>
      </c>
      <c r="J32" s="16">
        <v>74</v>
      </c>
      <c r="L32" t="str">
        <f t="shared" si="0"/>
        <v>Jan 1980</v>
      </c>
      <c r="M32" t="str">
        <f t="shared" si="1"/>
        <v>Jul 1980</v>
      </c>
      <c r="N32" s="4" t="s">
        <v>62</v>
      </c>
      <c r="O32" t="s">
        <v>63</v>
      </c>
      <c r="P32" s="21">
        <v>6</v>
      </c>
      <c r="Q32">
        <v>58</v>
      </c>
      <c r="R32">
        <v>64</v>
      </c>
      <c r="S32" s="5">
        <v>74</v>
      </c>
      <c r="T32" t="str">
        <f t="shared" si="2"/>
        <v/>
      </c>
      <c r="U32" t="str">
        <f t="shared" si="3"/>
        <v/>
      </c>
      <c r="V32" t="str">
        <f t="shared" si="4"/>
        <v/>
      </c>
      <c r="W32" t="str">
        <f t="shared" si="5"/>
        <v/>
      </c>
    </row>
    <row r="33" spans="2:23" x14ac:dyDescent="0.2">
      <c r="B33" s="16" t="s">
        <v>90</v>
      </c>
      <c r="C33" s="16">
        <v>1981</v>
      </c>
      <c r="D33" s="16">
        <v>3</v>
      </c>
      <c r="E33" s="16" t="s">
        <v>93</v>
      </c>
      <c r="F33" s="16">
        <v>1982</v>
      </c>
      <c r="G33" s="16">
        <v>16</v>
      </c>
      <c r="H33" s="16">
        <v>12</v>
      </c>
      <c r="I33" s="16">
        <v>28</v>
      </c>
      <c r="J33" s="16">
        <v>18</v>
      </c>
      <c r="L33" t="str">
        <f t="shared" si="0"/>
        <v>Jul 1981</v>
      </c>
      <c r="M33" t="str">
        <f t="shared" si="1"/>
        <v>Nov 1982</v>
      </c>
      <c r="N33" s="4" t="s">
        <v>64</v>
      </c>
      <c r="O33" t="s">
        <v>65</v>
      </c>
      <c r="P33" s="21">
        <v>16</v>
      </c>
      <c r="Q33">
        <v>12</v>
      </c>
      <c r="R33">
        <v>28</v>
      </c>
      <c r="S33" s="5">
        <v>18</v>
      </c>
      <c r="T33" t="str">
        <f t="shared" si="2"/>
        <v/>
      </c>
      <c r="U33" t="str">
        <f t="shared" si="3"/>
        <v/>
      </c>
      <c r="V33" t="str">
        <f t="shared" si="4"/>
        <v/>
      </c>
      <c r="W33" t="str">
        <f t="shared" si="5"/>
        <v/>
      </c>
    </row>
    <row r="34" spans="2:23" x14ac:dyDescent="0.2">
      <c r="B34" s="16" t="s">
        <v>90</v>
      </c>
      <c r="C34" s="16">
        <v>1990</v>
      </c>
      <c r="D34" s="16">
        <v>3</v>
      </c>
      <c r="E34" s="16" t="s">
        <v>88</v>
      </c>
      <c r="F34" s="16">
        <v>1991</v>
      </c>
      <c r="G34" s="16">
        <v>8</v>
      </c>
      <c r="H34" s="16">
        <v>92</v>
      </c>
      <c r="I34" s="16">
        <v>100</v>
      </c>
      <c r="J34" s="16">
        <v>108</v>
      </c>
      <c r="L34" t="str">
        <f t="shared" si="0"/>
        <v>Jul 1990</v>
      </c>
      <c r="M34" t="str">
        <f t="shared" si="1"/>
        <v>Mar 1991</v>
      </c>
      <c r="N34" s="4" t="s">
        <v>66</v>
      </c>
      <c r="O34" t="s">
        <v>67</v>
      </c>
      <c r="P34" s="21">
        <v>8</v>
      </c>
      <c r="Q34">
        <v>92</v>
      </c>
      <c r="R34">
        <v>100</v>
      </c>
      <c r="S34" s="5">
        <v>108</v>
      </c>
      <c r="T34" t="str">
        <f t="shared" si="2"/>
        <v/>
      </c>
      <c r="U34" t="str">
        <f t="shared" si="3"/>
        <v/>
      </c>
      <c r="V34" t="str">
        <f t="shared" si="4"/>
        <v/>
      </c>
      <c r="W34" t="str">
        <f t="shared" si="5"/>
        <v/>
      </c>
    </row>
    <row r="35" spans="2:23" x14ac:dyDescent="0.2">
      <c r="B35" s="16" t="s">
        <v>88</v>
      </c>
      <c r="C35" s="16">
        <v>2001</v>
      </c>
      <c r="D35" s="16">
        <v>1</v>
      </c>
      <c r="E35" s="16" t="s">
        <v>93</v>
      </c>
      <c r="F35" s="16">
        <v>2001</v>
      </c>
      <c r="G35" s="16">
        <v>8</v>
      </c>
      <c r="H35" s="16">
        <v>120</v>
      </c>
      <c r="I35" s="16">
        <v>128</v>
      </c>
      <c r="J35" s="16">
        <v>128</v>
      </c>
      <c r="L35" t="str">
        <f t="shared" si="0"/>
        <v>Mar 2001</v>
      </c>
      <c r="M35" t="str">
        <f t="shared" si="1"/>
        <v>Nov 2001</v>
      </c>
      <c r="N35" s="4" t="s">
        <v>68</v>
      </c>
      <c r="O35" t="s">
        <v>69</v>
      </c>
      <c r="P35" s="21">
        <v>8</v>
      </c>
      <c r="Q35">
        <v>120</v>
      </c>
      <c r="R35">
        <v>128</v>
      </c>
      <c r="S35" s="5">
        <v>128</v>
      </c>
      <c r="T35" t="str">
        <f t="shared" si="2"/>
        <v/>
      </c>
      <c r="U35" t="str">
        <f t="shared" si="3"/>
        <v/>
      </c>
      <c r="V35" t="str">
        <f t="shared" si="4"/>
        <v/>
      </c>
      <c r="W35" t="str">
        <f t="shared" si="5"/>
        <v/>
      </c>
    </row>
    <row r="36" spans="2:23" x14ac:dyDescent="0.2">
      <c r="B36" s="16" t="s">
        <v>86</v>
      </c>
      <c r="C36" s="16">
        <v>2007</v>
      </c>
      <c r="D36" s="16">
        <v>4</v>
      </c>
      <c r="E36" s="16" t="s">
        <v>87</v>
      </c>
      <c r="F36" s="16">
        <v>2009</v>
      </c>
      <c r="G36" s="16">
        <v>18</v>
      </c>
      <c r="H36" s="16">
        <v>73</v>
      </c>
      <c r="I36" s="16">
        <v>91</v>
      </c>
      <c r="J36" s="16">
        <v>81</v>
      </c>
      <c r="L36" t="str">
        <f t="shared" si="0"/>
        <v>Dec 2007</v>
      </c>
      <c r="M36" t="str">
        <f t="shared" si="1"/>
        <v>Jun 2009</v>
      </c>
      <c r="N36" s="6" t="s">
        <v>70</v>
      </c>
      <c r="O36" s="18" t="s">
        <v>103</v>
      </c>
      <c r="P36" s="21">
        <v>18</v>
      </c>
      <c r="Q36" s="7">
        <v>73</v>
      </c>
      <c r="R36" s="7">
        <v>91</v>
      </c>
      <c r="S36" s="8">
        <v>81</v>
      </c>
      <c r="T36" t="str">
        <f t="shared" si="2"/>
        <v/>
      </c>
      <c r="U36" t="str">
        <f t="shared" si="3"/>
        <v/>
      </c>
      <c r="V36" t="str">
        <f t="shared" si="4"/>
        <v/>
      </c>
      <c r="W36" t="str">
        <f t="shared" si="5"/>
        <v/>
      </c>
    </row>
    <row r="37" spans="2:23" x14ac:dyDescent="0.2">
      <c r="B37" s="25" t="s">
        <v>94</v>
      </c>
      <c r="C37" s="25">
        <v>2020</v>
      </c>
      <c r="D37" s="17" t="s">
        <v>0</v>
      </c>
      <c r="E37" s="23" t="s">
        <v>99</v>
      </c>
      <c r="F37" s="23" t="s">
        <v>100</v>
      </c>
      <c r="G37" s="23" t="s">
        <v>101</v>
      </c>
      <c r="H37" s="23">
        <v>128</v>
      </c>
      <c r="I37" s="23" t="s">
        <v>102</v>
      </c>
      <c r="J37" s="23">
        <v>146</v>
      </c>
      <c r="L37" t="str">
        <f t="shared" si="0"/>
        <v>Feb 2020</v>
      </c>
      <c r="M37" t="str">
        <f t="shared" si="1"/>
        <v>Apr 2020 </v>
      </c>
      <c r="P37" s="21">
        <v>2</v>
      </c>
      <c r="Q37">
        <f t="shared" ref="Q37:S37" si="6">H37</f>
        <v>128</v>
      </c>
      <c r="R37" t="str">
        <f t="shared" si="6"/>
        <v>130 </v>
      </c>
      <c r="S37">
        <f t="shared" si="6"/>
        <v>146</v>
      </c>
    </row>
    <row r="38" spans="2:23" x14ac:dyDescent="0.2">
      <c r="B38" s="25"/>
      <c r="C38" s="25"/>
      <c r="D38" s="17" t="s">
        <v>97</v>
      </c>
      <c r="E38" s="23"/>
      <c r="F38" s="23"/>
      <c r="G38" s="23"/>
      <c r="H38" s="23"/>
      <c r="I38" s="23"/>
      <c r="J38" s="23"/>
    </row>
    <row r="39" spans="2:23" x14ac:dyDescent="0.2">
      <c r="B39" s="25"/>
      <c r="C39" s="25"/>
      <c r="D39" s="17" t="s">
        <v>98</v>
      </c>
      <c r="E39" s="23"/>
      <c r="F39" s="23"/>
      <c r="G39" s="23"/>
      <c r="H39" s="23"/>
      <c r="I39" s="23"/>
      <c r="J39" s="23"/>
    </row>
  </sheetData>
  <mergeCells count="10">
    <mergeCell ref="J37:J39"/>
    <mergeCell ref="B1:F1"/>
    <mergeCell ref="I1:K1"/>
    <mergeCell ref="B37:B39"/>
    <mergeCell ref="C37:C39"/>
    <mergeCell ref="E37:E39"/>
    <mergeCell ref="F37:F39"/>
    <mergeCell ref="G37:G39"/>
    <mergeCell ref="H37:H39"/>
    <mergeCell ref="I37:I3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Business Cycles (n = 33)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2020-03-02T19:25:53Z</cp:lastPrinted>
  <dcterms:created xsi:type="dcterms:W3CDTF">2004-07-23T18:05:43Z</dcterms:created>
  <dcterms:modified xsi:type="dcterms:W3CDTF">2022-12-26T23:21:47Z</dcterms:modified>
</cp:coreProperties>
</file>