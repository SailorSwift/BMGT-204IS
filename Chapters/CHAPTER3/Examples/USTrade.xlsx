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28273518-F919-43B9-93E3-73D1BF937C37}" xr6:coauthVersionLast="47" xr6:coauthVersionMax="47" xr10:uidLastSave="{00000000-0000-0000-0000-000000000000}"/>
  <bookViews>
    <workbookView xWindow="780" yWindow="780" windowWidth="17880" windowHeight="13380" xr2:uid="{00000000-000D-0000-FFFF-FFFF00000000}"/>
  </bookViews>
  <sheets>
    <sheet name="Data" sheetId="4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4" l="1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F4" i="4"/>
  <c r="E4" i="4"/>
  <c r="I5" i="4" l="1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J4" i="4"/>
  <c r="I4" i="4"/>
</calcChain>
</file>

<file path=xl/sharedStrings.xml><?xml version="1.0" encoding="utf-8"?>
<sst xmlns="http://schemas.openxmlformats.org/spreadsheetml/2006/main" count="9" uniqueCount="8">
  <si>
    <t>Exports</t>
  </si>
  <si>
    <t>Imports</t>
  </si>
  <si>
    <t>Year</t>
  </si>
  <si>
    <t>U.S. Exports and Imports, 1960-2018  (billions of dollars)</t>
  </si>
  <si>
    <t>ln(Imports)</t>
  </si>
  <si>
    <t>ln( Exports)</t>
  </si>
  <si>
    <t>Pct Chg Imports</t>
  </si>
  <si>
    <t>Pct Chg 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</si>
</sst>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#,##0.0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0" fillId="0" borderId="0" xfId="0" applyFill="1"/>
    <xf numFmtId="0" fontId="6" fillId="0" borderId="0" xfId="0" applyFont="1"/>
    <xf numFmtId="0" fontId="5" fillId="2" borderId="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right"/>
    </xf>
    <xf numFmtId="3" fontId="7" fillId="0" borderId="0" xfId="0" applyNumberFormat="1" applyFont="1"/>
    <xf numFmtId="164" fontId="0" fillId="3" borderId="7" xfId="0" applyNumberForma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3" fontId="7" fillId="0" borderId="0" xfId="0" applyNumberFormat="1" applyFont="1" applyFill="1"/>
    <xf numFmtId="2" fontId="0" fillId="3" borderId="2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1" fillId="0" borderId="0" xfId="0" applyFont="1"/>
    <xf numFmtId="165" fontId="0" fillId="3" borderId="2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0" fontId="5" fillId="2" borderId="11" xfId="0" applyFont="1" applyFill="1" applyBorder="1" applyAlignment="1">
      <alignment horizontal="right"/>
    </xf>
    <xf numFmtId="166" fontId="7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51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7322E8-83CA-4F46-9580-1A579F63DF00}"/>
            </a:ext>
          </a:extLst>
        </xdr:cNvPr>
        <xdr:cNvSpPr txBox="1"/>
      </xdr:nvSpPr>
      <xdr:spPr>
        <a:xfrm>
          <a:off x="1209675" y="9782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238125</xdr:colOff>
      <xdr:row>11</xdr:row>
      <xdr:rowOff>0</xdr:rowOff>
    </xdr:from>
    <xdr:to>
      <xdr:col>13</xdr:col>
      <xdr:colOff>95250</xdr:colOff>
      <xdr:row>17</xdr:row>
      <xdr:rowOff>9525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484DB98-B805-4232-8244-E57E341719D4}"/>
            </a:ext>
          </a:extLst>
        </xdr:cNvPr>
        <xdr:cNvSpPr/>
      </xdr:nvSpPr>
      <xdr:spPr>
        <a:xfrm>
          <a:off x="7648575" y="2219325"/>
          <a:ext cx="2419350" cy="11525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https://www.bea.gov/data/intl-trade-investment/international-trade-goods-and-services accessed Dec 31, 2019.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352425</xdr:colOff>
      <xdr:row>1</xdr:row>
      <xdr:rowOff>47625</xdr:rowOff>
    </xdr:from>
    <xdr:to>
      <xdr:col>9</xdr:col>
      <xdr:colOff>771525</xdr:colOff>
      <xdr:row>1</xdr:row>
      <xdr:rowOff>304800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977095-20CA-4E6E-8837-A0B79DACF73F}"/>
            </a:ext>
          </a:extLst>
        </xdr:cNvPr>
        <xdr:cNvSpPr txBox="1"/>
      </xdr:nvSpPr>
      <xdr:spPr>
        <a:xfrm>
          <a:off x="5172075" y="238125"/>
          <a:ext cx="2038350" cy="257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First</a:t>
          </a:r>
          <a:r>
            <a:rPr lang="en-US" sz="1100" b="0" i="1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Differences (y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</a:t>
          </a:r>
          <a:r>
            <a:rPr lang="en-US" sz="1100" b="0" i="1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y</a:t>
          </a:r>
          <a:r>
            <a:rPr lang="en-US" sz="1100" b="0" i="1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t-1</a:t>
          </a:r>
          <a:r>
            <a:rPr lang="en-US" sz="1100" b="0" i="1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sz="1100" b="0" i="1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4</xdr:col>
      <xdr:colOff>323850</xdr:colOff>
      <xdr:row>1</xdr:row>
      <xdr:rowOff>47624</xdr:rowOff>
    </xdr:from>
    <xdr:to>
      <xdr:col>5</xdr:col>
      <xdr:colOff>800100</xdr:colOff>
      <xdr:row>1</xdr:row>
      <xdr:rowOff>304800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01BBBF-F38E-435C-8E63-2475E8618F5F}"/>
            </a:ext>
          </a:extLst>
        </xdr:cNvPr>
        <xdr:cNvSpPr txBox="1"/>
      </xdr:nvSpPr>
      <xdr:spPr>
        <a:xfrm>
          <a:off x="2762250" y="238124"/>
          <a:ext cx="1333500" cy="2571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Log Transform</a:t>
          </a:r>
        </a:p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</a:t>
          </a:r>
        </a:p>
        <a:p>
          <a:endParaRPr lang="en-US" sz="1100"/>
        </a:p>
      </xdr:txBody>
    </xdr:sp>
    <xdr:clientData/>
  </xdr:twoCellAnchor>
  <xdr:twoCellAnchor editAs="oneCell">
    <xdr:from>
      <xdr:col>10</xdr:col>
      <xdr:colOff>219075</xdr:colOff>
      <xdr:row>2</xdr:row>
      <xdr:rowOff>0</xdr:rowOff>
    </xdr:from>
    <xdr:to>
      <xdr:col>12</xdr:col>
      <xdr:colOff>352164</xdr:colOff>
      <xdr:row>10</xdr:row>
      <xdr:rowOff>56952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D1E592-FF5E-44BE-A6E9-3DD27A7B8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5048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698D-451D-448B-B392-12AA70F28560}">
  <sheetPr>
    <pageSetUpPr fitToPage="1"/>
  </sheetPr>
  <dimension ref="B1:W65"/>
  <sheetViews>
    <sheetView showGridLines="0" tabSelected="1" workbookViewId="0"/>
  </sheetViews>
  <sheetFormatPr defaultRowHeight="12.75" x14ac:dyDescent="0.2"/>
  <cols>
    <col min="1" max="1" width="5.28515625" customWidth="1"/>
    <col min="2" max="2" width="9.140625" style="1"/>
    <col min="3" max="3" width="11.28515625" customWidth="1"/>
    <col min="4" max="4" width="10.85546875" customWidth="1"/>
    <col min="5" max="5" width="12.85546875" customWidth="1"/>
    <col min="6" max="6" width="13.7109375" customWidth="1"/>
    <col min="9" max="9" width="17" customWidth="1"/>
    <col min="10" max="10" width="17.28515625" customWidth="1"/>
    <col min="11" max="11" width="14.5703125" bestFit="1" customWidth="1"/>
    <col min="12" max="12" width="14.7109375" bestFit="1" customWidth="1"/>
    <col min="18" max="18" width="10.140625" bestFit="1" customWidth="1"/>
  </cols>
  <sheetData>
    <row r="1" spans="2:23" ht="15" customHeight="1" x14ac:dyDescent="0.2">
      <c r="B1" s="3" t="s">
        <v>3</v>
      </c>
      <c r="J1" s="2"/>
      <c r="K1" s="2"/>
      <c r="L1" s="2"/>
      <c r="M1" s="2"/>
      <c r="N1" s="2"/>
      <c r="O1" s="2"/>
      <c r="P1" s="2"/>
    </row>
    <row r="2" spans="2:23" ht="24.75" customHeight="1" x14ac:dyDescent="0.25">
      <c r="I2" s="35"/>
      <c r="J2" s="35"/>
      <c r="K2" s="35"/>
      <c r="L2" s="35"/>
      <c r="M2" s="2"/>
      <c r="N2" s="2"/>
      <c r="O2" s="2"/>
      <c r="P2" s="2"/>
      <c r="U2" s="20"/>
      <c r="V2" s="20"/>
      <c r="W2" s="20"/>
    </row>
    <row r="3" spans="2:23" ht="15" x14ac:dyDescent="0.25">
      <c r="B3" s="4" t="s">
        <v>2</v>
      </c>
      <c r="C3" s="5" t="s">
        <v>1</v>
      </c>
      <c r="D3" s="5" t="s">
        <v>0</v>
      </c>
      <c r="E3" s="33" t="s">
        <v>4</v>
      </c>
      <c r="F3" s="6" t="s">
        <v>5</v>
      </c>
      <c r="H3" s="4" t="s">
        <v>2</v>
      </c>
      <c r="I3" s="33" t="s">
        <v>6</v>
      </c>
      <c r="J3" s="33" t="s">
        <v>7</v>
      </c>
      <c r="M3" s="2"/>
      <c r="N3" s="2"/>
      <c r="O3" s="2"/>
      <c r="P3" s="2"/>
      <c r="U3" s="20"/>
      <c r="V3" s="20"/>
      <c r="W3" s="20"/>
    </row>
    <row r="4" spans="2:23" ht="15" x14ac:dyDescent="0.25">
      <c r="B4" s="10">
        <v>1960</v>
      </c>
      <c r="C4" s="8">
        <v>22.4</v>
      </c>
      <c r="D4" s="8">
        <v>25.9</v>
      </c>
      <c r="E4" s="26">
        <f t="shared" ref="E4:E35" si="0">LN(C4)</f>
        <v>3.1090609588609941</v>
      </c>
      <c r="F4" s="21">
        <f t="shared" ref="F4:F35" si="1">LN(D4)</f>
        <v>3.2542429687054919</v>
      </c>
      <c r="H4" s="24">
        <v>1961</v>
      </c>
      <c r="I4" s="25">
        <f>100*(C5/C4-1)</f>
        <v>-0.89285714285713969</v>
      </c>
      <c r="J4" s="15">
        <f>100*(D5/D4-1)</f>
        <v>1.9305019305019266</v>
      </c>
      <c r="M4" s="2"/>
      <c r="N4" s="2"/>
      <c r="O4" s="2"/>
      <c r="P4" s="2"/>
      <c r="R4" s="34"/>
      <c r="U4" s="20"/>
      <c r="V4" s="20"/>
      <c r="W4" s="20"/>
    </row>
    <row r="5" spans="2:23" ht="15" x14ac:dyDescent="0.25">
      <c r="B5" s="11">
        <v>1961</v>
      </c>
      <c r="C5" s="9">
        <v>22.2</v>
      </c>
      <c r="D5" s="9">
        <v>26.4</v>
      </c>
      <c r="E5" s="29">
        <f t="shared" si="0"/>
        <v>3.1000922888782338</v>
      </c>
      <c r="F5" s="22">
        <f t="shared" si="1"/>
        <v>3.2733640101522705</v>
      </c>
      <c r="H5" s="27">
        <v>1962</v>
      </c>
      <c r="I5" s="28">
        <f t="shared" ref="I5:I61" si="2">100*(C6/C5-1)</f>
        <v>9.9099099099098975</v>
      </c>
      <c r="J5" s="16">
        <f t="shared" ref="J5:J61" si="3">100*(D6/D5-1)</f>
        <v>4.924242424242431</v>
      </c>
      <c r="M5" s="2"/>
      <c r="N5" s="2"/>
      <c r="O5" s="2"/>
      <c r="P5" s="2"/>
      <c r="R5" s="7"/>
      <c r="U5" s="20"/>
      <c r="V5" s="20"/>
      <c r="W5" s="20"/>
    </row>
    <row r="6" spans="2:23" ht="15" x14ac:dyDescent="0.25">
      <c r="B6" s="11">
        <v>1962</v>
      </c>
      <c r="C6" s="9">
        <v>24.4</v>
      </c>
      <c r="D6" s="9">
        <v>27.7</v>
      </c>
      <c r="E6" s="29">
        <f t="shared" si="0"/>
        <v>3.1945831322991562</v>
      </c>
      <c r="F6" s="22">
        <f t="shared" si="1"/>
        <v>3.3214324131932926</v>
      </c>
      <c r="H6" s="27">
        <v>1963</v>
      </c>
      <c r="I6" s="28">
        <f t="shared" si="2"/>
        <v>4.0983606557376984</v>
      </c>
      <c r="J6" s="16">
        <f t="shared" si="3"/>
        <v>6.8592057761732939</v>
      </c>
      <c r="M6" s="2"/>
      <c r="N6" s="2"/>
      <c r="O6" s="2"/>
      <c r="P6" s="2"/>
      <c r="R6" s="7"/>
      <c r="U6" s="20"/>
      <c r="V6" s="20"/>
      <c r="W6" s="20"/>
    </row>
    <row r="7" spans="2:23" ht="15" x14ac:dyDescent="0.25">
      <c r="B7" s="11">
        <v>1963</v>
      </c>
      <c r="C7" s="9">
        <v>25.4</v>
      </c>
      <c r="D7" s="9">
        <v>29.6</v>
      </c>
      <c r="E7" s="29">
        <f t="shared" si="0"/>
        <v>3.2347491740244907</v>
      </c>
      <c r="F7" s="22">
        <f t="shared" si="1"/>
        <v>3.3877743613300146</v>
      </c>
      <c r="H7" s="27">
        <v>1964</v>
      </c>
      <c r="I7" s="28">
        <f t="shared" si="2"/>
        <v>7.4803149606299302</v>
      </c>
      <c r="J7" s="16">
        <f t="shared" si="3"/>
        <v>12.499999999999979</v>
      </c>
      <c r="M7" s="2"/>
      <c r="N7" s="2"/>
      <c r="O7" s="2"/>
      <c r="P7" s="2"/>
      <c r="R7" s="7"/>
      <c r="U7" s="20"/>
      <c r="V7" s="20"/>
      <c r="W7" s="20"/>
    </row>
    <row r="8" spans="2:23" ht="15" x14ac:dyDescent="0.25">
      <c r="B8" s="11">
        <v>1964</v>
      </c>
      <c r="C8" s="9">
        <v>27.3</v>
      </c>
      <c r="D8" s="9">
        <v>33.299999999999997</v>
      </c>
      <c r="E8" s="29">
        <f t="shared" si="0"/>
        <v>3.3068867021909143</v>
      </c>
      <c r="F8" s="22">
        <f t="shared" si="1"/>
        <v>3.505557396986398</v>
      </c>
      <c r="H8" s="27">
        <v>1965</v>
      </c>
      <c r="I8" s="28">
        <f t="shared" si="2"/>
        <v>12.087912087912089</v>
      </c>
      <c r="J8" s="16">
        <f t="shared" si="3"/>
        <v>6.0060060060060039</v>
      </c>
      <c r="M8" s="2"/>
      <c r="N8" s="2"/>
      <c r="O8" s="2"/>
      <c r="P8" s="2"/>
      <c r="R8" s="7"/>
      <c r="U8" s="20"/>
      <c r="V8" s="20"/>
      <c r="W8" s="20"/>
    </row>
    <row r="9" spans="2:23" ht="15" x14ac:dyDescent="0.25">
      <c r="B9" s="11">
        <v>1965</v>
      </c>
      <c r="C9" s="9">
        <v>30.6</v>
      </c>
      <c r="D9" s="9">
        <v>35.299999999999997</v>
      </c>
      <c r="E9" s="29">
        <f t="shared" si="0"/>
        <v>3.4210000089583352</v>
      </c>
      <c r="F9" s="22">
        <f t="shared" si="1"/>
        <v>3.5638829639392511</v>
      </c>
      <c r="H9" s="27">
        <v>1966</v>
      </c>
      <c r="I9" s="28">
        <f t="shared" si="2"/>
        <v>17.647058823529417</v>
      </c>
      <c r="J9" s="16">
        <f t="shared" si="3"/>
        <v>10.198300283286121</v>
      </c>
      <c r="M9" s="2"/>
      <c r="N9" s="2"/>
      <c r="O9" s="2"/>
      <c r="P9" s="2"/>
      <c r="R9" s="7"/>
      <c r="U9" s="20"/>
      <c r="V9" s="20"/>
      <c r="W9" s="20"/>
    </row>
    <row r="10" spans="2:23" ht="15" x14ac:dyDescent="0.25">
      <c r="B10" s="11">
        <v>1966</v>
      </c>
      <c r="C10" s="9">
        <v>36</v>
      </c>
      <c r="D10" s="9">
        <v>38.9</v>
      </c>
      <c r="E10" s="29">
        <f t="shared" si="0"/>
        <v>3.5835189384561099</v>
      </c>
      <c r="F10" s="22">
        <f t="shared" si="1"/>
        <v>3.6609942506244004</v>
      </c>
      <c r="H10" s="27">
        <v>1967</v>
      </c>
      <c r="I10" s="28">
        <f t="shared" si="2"/>
        <v>7.5000000000000178</v>
      </c>
      <c r="J10" s="16">
        <f t="shared" si="3"/>
        <v>6.1696658097686319</v>
      </c>
      <c r="M10" s="2"/>
      <c r="N10" s="2"/>
      <c r="O10" s="2"/>
      <c r="P10" s="2"/>
      <c r="R10" s="7"/>
      <c r="U10" s="20"/>
      <c r="V10" s="20"/>
      <c r="W10" s="20"/>
    </row>
    <row r="11" spans="2:23" ht="15" x14ac:dyDescent="0.25">
      <c r="B11" s="11">
        <v>1967</v>
      </c>
      <c r="C11" s="9">
        <v>38.700000000000003</v>
      </c>
      <c r="D11" s="9">
        <v>41.3</v>
      </c>
      <c r="E11" s="29">
        <f t="shared" si="0"/>
        <v>3.655839600035736</v>
      </c>
      <c r="F11" s="22">
        <f t="shared" si="1"/>
        <v>3.7208624999669868</v>
      </c>
      <c r="H11" s="27">
        <v>1968</v>
      </c>
      <c r="I11" s="28">
        <f t="shared" si="2"/>
        <v>17.054263565891461</v>
      </c>
      <c r="J11" s="16">
        <f t="shared" si="3"/>
        <v>10.169491525423746</v>
      </c>
      <c r="M11" s="2"/>
      <c r="N11" s="2"/>
      <c r="O11" s="2"/>
      <c r="P11" s="2"/>
      <c r="R11" s="7"/>
      <c r="U11" s="20"/>
      <c r="V11" s="20"/>
      <c r="W11" s="20"/>
    </row>
    <row r="12" spans="2:23" ht="15" x14ac:dyDescent="0.25">
      <c r="B12" s="11">
        <v>1968</v>
      </c>
      <c r="C12" s="9">
        <v>45.3</v>
      </c>
      <c r="D12" s="9">
        <v>45.5</v>
      </c>
      <c r="E12" s="29">
        <f t="shared" si="0"/>
        <v>3.8133070324889884</v>
      </c>
      <c r="F12" s="22">
        <f t="shared" si="1"/>
        <v>3.8177123259569048</v>
      </c>
      <c r="H12" s="27">
        <v>1969</v>
      </c>
      <c r="I12" s="28">
        <f t="shared" si="2"/>
        <v>8.388520971302448</v>
      </c>
      <c r="J12" s="16">
        <f t="shared" si="3"/>
        <v>8.1318681318681474</v>
      </c>
      <c r="M12" s="2"/>
      <c r="N12" s="2"/>
      <c r="O12" s="2"/>
      <c r="P12" s="2"/>
      <c r="R12" s="7"/>
      <c r="U12" s="20"/>
      <c r="V12" s="20"/>
      <c r="W12" s="20"/>
    </row>
    <row r="13" spans="2:23" ht="15" x14ac:dyDescent="0.25">
      <c r="B13" s="11">
        <v>1969</v>
      </c>
      <c r="C13" s="9">
        <v>49.1</v>
      </c>
      <c r="D13" s="9">
        <v>49.2</v>
      </c>
      <c r="E13" s="29">
        <f t="shared" si="0"/>
        <v>3.8938590348004749</v>
      </c>
      <c r="F13" s="22">
        <f t="shared" si="1"/>
        <v>3.8958936234982624</v>
      </c>
      <c r="H13" s="27">
        <v>1970</v>
      </c>
      <c r="I13" s="28">
        <f t="shared" si="2"/>
        <v>10.794297352342163</v>
      </c>
      <c r="J13" s="16">
        <f t="shared" si="3"/>
        <v>15.040650406504064</v>
      </c>
      <c r="M13" s="2"/>
      <c r="N13" s="2"/>
      <c r="O13" s="2"/>
      <c r="P13" s="2"/>
      <c r="R13" s="7"/>
      <c r="U13" s="20"/>
      <c r="V13" s="20"/>
      <c r="W13" s="20"/>
    </row>
    <row r="14" spans="2:23" ht="15" x14ac:dyDescent="0.25">
      <c r="B14" s="11">
        <v>1970</v>
      </c>
      <c r="C14" s="9">
        <v>54.4</v>
      </c>
      <c r="D14" s="9">
        <v>56.6</v>
      </c>
      <c r="E14" s="29">
        <f t="shared" si="0"/>
        <v>3.9963641538618968</v>
      </c>
      <c r="F14" s="22">
        <f t="shared" si="1"/>
        <v>4.0360089852091372</v>
      </c>
      <c r="H14" s="27">
        <v>1971</v>
      </c>
      <c r="I14" s="28">
        <f t="shared" si="2"/>
        <v>12.132352941176471</v>
      </c>
      <c r="J14" s="16">
        <f t="shared" si="3"/>
        <v>5.4770318021201359</v>
      </c>
      <c r="M14" s="2"/>
      <c r="N14" s="2"/>
      <c r="O14" s="2"/>
      <c r="P14" s="2"/>
      <c r="R14" s="7"/>
      <c r="U14" s="20"/>
      <c r="V14" s="20"/>
      <c r="W14" s="20"/>
    </row>
    <row r="15" spans="2:23" ht="15" x14ac:dyDescent="0.25">
      <c r="B15" s="11">
        <v>1971</v>
      </c>
      <c r="C15" s="9">
        <v>61</v>
      </c>
      <c r="D15" s="9">
        <v>59.7</v>
      </c>
      <c r="E15" s="29">
        <f t="shared" si="0"/>
        <v>4.1108738641733114</v>
      </c>
      <c r="F15" s="22">
        <f t="shared" si="1"/>
        <v>4.0893320203985564</v>
      </c>
      <c r="H15" s="27">
        <v>1972</v>
      </c>
      <c r="I15" s="28">
        <f t="shared" si="2"/>
        <v>19.180327868852466</v>
      </c>
      <c r="J15" s="16">
        <f t="shared" si="3"/>
        <v>12.562814070351758</v>
      </c>
      <c r="M15" s="2"/>
      <c r="N15" s="2"/>
      <c r="O15" s="2"/>
      <c r="P15" s="2"/>
      <c r="R15" s="7"/>
      <c r="U15" s="20"/>
      <c r="V15" s="20"/>
      <c r="W15" s="20"/>
    </row>
    <row r="16" spans="2:23" ht="15" x14ac:dyDescent="0.25">
      <c r="B16" s="11">
        <v>1972</v>
      </c>
      <c r="C16" s="9">
        <v>72.7</v>
      </c>
      <c r="D16" s="9">
        <v>67.2</v>
      </c>
      <c r="E16" s="29">
        <f t="shared" si="0"/>
        <v>4.2863413845394733</v>
      </c>
      <c r="F16" s="22">
        <f t="shared" si="1"/>
        <v>4.2076732475291037</v>
      </c>
      <c r="H16" s="27">
        <v>1973</v>
      </c>
      <c r="I16" s="28">
        <f t="shared" si="2"/>
        <v>22.833562585969737</v>
      </c>
      <c r="J16" s="16">
        <f t="shared" si="3"/>
        <v>35.714285714285722</v>
      </c>
      <c r="M16" s="2"/>
      <c r="N16" s="2"/>
      <c r="O16" s="2"/>
      <c r="P16" s="2"/>
      <c r="R16" s="7"/>
      <c r="U16" s="20"/>
      <c r="V16" s="20"/>
      <c r="W16" s="20"/>
    </row>
    <row r="17" spans="2:23" ht="15" x14ac:dyDescent="0.25">
      <c r="B17" s="11">
        <v>1973</v>
      </c>
      <c r="C17" s="9">
        <v>89.3</v>
      </c>
      <c r="D17" s="9">
        <v>91.2</v>
      </c>
      <c r="E17" s="29">
        <f t="shared" si="0"/>
        <v>4.4920014878824537</v>
      </c>
      <c r="F17" s="22">
        <f t="shared" si="1"/>
        <v>4.513054897080286</v>
      </c>
      <c r="H17" s="27">
        <v>1974</v>
      </c>
      <c r="I17" s="28">
        <f t="shared" si="2"/>
        <v>40.201567749160148</v>
      </c>
      <c r="J17" s="16">
        <f t="shared" si="3"/>
        <v>32.565789473684205</v>
      </c>
      <c r="M17" s="2"/>
      <c r="N17" s="2"/>
      <c r="O17" s="2"/>
      <c r="P17" s="2"/>
      <c r="R17" s="7"/>
      <c r="U17" s="20"/>
      <c r="V17" s="20"/>
      <c r="W17" s="20"/>
    </row>
    <row r="18" spans="2:23" ht="15" x14ac:dyDescent="0.25">
      <c r="B18" s="11">
        <v>1974</v>
      </c>
      <c r="C18" s="9">
        <v>125.2</v>
      </c>
      <c r="D18" s="9">
        <v>120.9</v>
      </c>
      <c r="E18" s="29">
        <f t="shared" si="0"/>
        <v>4.8299124586659978</v>
      </c>
      <c r="F18" s="22">
        <f t="shared" si="1"/>
        <v>4.7949637576207467</v>
      </c>
      <c r="H18" s="27">
        <v>1975</v>
      </c>
      <c r="I18" s="28">
        <f t="shared" si="2"/>
        <v>-3.9936102236421744</v>
      </c>
      <c r="J18" s="16">
        <f t="shared" si="3"/>
        <v>9.6774193548387011</v>
      </c>
      <c r="M18" s="2"/>
      <c r="N18" s="2"/>
      <c r="O18" s="2"/>
      <c r="P18" s="2"/>
      <c r="R18" s="7"/>
      <c r="U18" s="20"/>
      <c r="V18" s="20"/>
      <c r="W18" s="20"/>
    </row>
    <row r="19" spans="2:23" ht="15" x14ac:dyDescent="0.25">
      <c r="B19" s="11">
        <v>1975</v>
      </c>
      <c r="C19" s="9">
        <v>120.2</v>
      </c>
      <c r="D19" s="9">
        <v>132.6</v>
      </c>
      <c r="E19" s="29">
        <f t="shared" si="0"/>
        <v>4.7891570221011071</v>
      </c>
      <c r="F19" s="22">
        <f t="shared" si="1"/>
        <v>4.887337077751762</v>
      </c>
      <c r="H19" s="27">
        <v>1976</v>
      </c>
      <c r="I19" s="28">
        <f t="shared" si="2"/>
        <v>23.793677204658902</v>
      </c>
      <c r="J19" s="16">
        <f t="shared" si="3"/>
        <v>7.6168929110105532</v>
      </c>
      <c r="M19" s="2"/>
      <c r="N19" s="2"/>
      <c r="O19" s="2"/>
      <c r="P19" s="2"/>
      <c r="R19" s="7"/>
      <c r="U19" s="20"/>
      <c r="V19" s="20"/>
      <c r="W19" s="20"/>
    </row>
    <row r="20" spans="2:23" ht="15" x14ac:dyDescent="0.25">
      <c r="B20" s="11">
        <v>1976</v>
      </c>
      <c r="C20" s="9">
        <v>148.80000000000001</v>
      </c>
      <c r="D20" s="9">
        <v>142.69999999999999</v>
      </c>
      <c r="E20" s="29">
        <f t="shared" si="0"/>
        <v>5.002603122398992</v>
      </c>
      <c r="F20" s="22">
        <f t="shared" si="1"/>
        <v>4.9607445244827906</v>
      </c>
      <c r="H20" s="27">
        <v>1977</v>
      </c>
      <c r="I20" s="28">
        <f t="shared" si="2"/>
        <v>20.631720430107524</v>
      </c>
      <c r="J20" s="16">
        <f t="shared" si="3"/>
        <v>6.7274001401541828</v>
      </c>
      <c r="M20" s="2"/>
      <c r="N20" s="2"/>
      <c r="O20" s="2"/>
      <c r="P20" s="2"/>
      <c r="R20" s="7"/>
      <c r="U20" s="20"/>
      <c r="V20" s="20"/>
      <c r="W20" s="20"/>
    </row>
    <row r="21" spans="2:23" ht="15" x14ac:dyDescent="0.25">
      <c r="B21" s="11">
        <v>1977</v>
      </c>
      <c r="C21" s="9">
        <v>179.5</v>
      </c>
      <c r="D21" s="9">
        <v>152.30000000000001</v>
      </c>
      <c r="E21" s="29">
        <f t="shared" si="0"/>
        <v>5.1901752079283332</v>
      </c>
      <c r="F21" s="22">
        <f t="shared" si="1"/>
        <v>5.0258522599011162</v>
      </c>
      <c r="H21" s="27">
        <v>1978</v>
      </c>
      <c r="I21" s="28">
        <f t="shared" si="2"/>
        <v>15.988857938718649</v>
      </c>
      <c r="J21" s="16">
        <f t="shared" si="3"/>
        <v>17.137229152987523</v>
      </c>
      <c r="M21" s="2"/>
      <c r="N21" s="2"/>
      <c r="O21" s="2"/>
      <c r="P21" s="2"/>
      <c r="R21" s="7"/>
      <c r="U21" s="20"/>
      <c r="V21" s="20"/>
      <c r="W21" s="20"/>
    </row>
    <row r="22" spans="2:23" ht="15" x14ac:dyDescent="0.25">
      <c r="B22" s="11">
        <v>1978</v>
      </c>
      <c r="C22" s="9">
        <v>208.2</v>
      </c>
      <c r="D22" s="9">
        <v>178.4</v>
      </c>
      <c r="E22" s="29">
        <f t="shared" si="0"/>
        <v>5.3384991561808688</v>
      </c>
      <c r="F22" s="22">
        <f t="shared" si="1"/>
        <v>5.1840282201459091</v>
      </c>
      <c r="H22" s="27">
        <v>1979</v>
      </c>
      <c r="I22" s="28">
        <f t="shared" si="2"/>
        <v>19.452449567723342</v>
      </c>
      <c r="J22" s="16">
        <f t="shared" si="3"/>
        <v>25.616591928251118</v>
      </c>
      <c r="M22" s="2"/>
      <c r="N22" s="2"/>
      <c r="O22" s="2"/>
      <c r="P22" s="2"/>
      <c r="R22" s="7"/>
      <c r="U22" s="20"/>
      <c r="V22" s="20"/>
      <c r="W22" s="20"/>
    </row>
    <row r="23" spans="2:23" ht="15" x14ac:dyDescent="0.25">
      <c r="B23" s="11">
        <v>1979</v>
      </c>
      <c r="C23" s="9">
        <v>248.7</v>
      </c>
      <c r="D23" s="9">
        <v>224.1</v>
      </c>
      <c r="E23" s="29">
        <f t="shared" si="0"/>
        <v>5.5162473508093592</v>
      </c>
      <c r="F23" s="22">
        <f t="shared" si="1"/>
        <v>5.4120923808068815</v>
      </c>
      <c r="H23" s="27">
        <v>1980</v>
      </c>
      <c r="I23" s="28">
        <f t="shared" si="2"/>
        <v>17.088862082830715</v>
      </c>
      <c r="J23" s="16">
        <f t="shared" si="3"/>
        <v>21.285140562248994</v>
      </c>
      <c r="M23" s="2"/>
      <c r="N23" s="2"/>
      <c r="O23" s="2"/>
      <c r="P23" s="2"/>
      <c r="R23" s="7"/>
      <c r="U23" s="20"/>
      <c r="V23" s="20"/>
      <c r="W23" s="20"/>
    </row>
    <row r="24" spans="2:23" ht="15" x14ac:dyDescent="0.25">
      <c r="B24" s="11">
        <v>1980</v>
      </c>
      <c r="C24" s="9">
        <v>291.2</v>
      </c>
      <c r="D24" s="9">
        <v>271.8</v>
      </c>
      <c r="E24" s="29">
        <f t="shared" si="0"/>
        <v>5.6740103163225308</v>
      </c>
      <c r="F24" s="22">
        <f t="shared" si="1"/>
        <v>5.6050665017170438</v>
      </c>
      <c r="H24" s="27">
        <v>1981</v>
      </c>
      <c r="I24" s="28">
        <f t="shared" si="2"/>
        <v>6.6620879120879328</v>
      </c>
      <c r="J24" s="16">
        <f t="shared" si="3"/>
        <v>8.3149374540102841</v>
      </c>
      <c r="R24" s="7"/>
      <c r="U24" s="20"/>
      <c r="V24" s="20"/>
      <c r="W24" s="20"/>
    </row>
    <row r="25" spans="2:23" ht="15" x14ac:dyDescent="0.25">
      <c r="B25" s="11">
        <v>1981</v>
      </c>
      <c r="C25" s="9">
        <v>310.60000000000002</v>
      </c>
      <c r="D25" s="9">
        <v>294.39999999999998</v>
      </c>
      <c r="E25" s="29">
        <f t="shared" si="0"/>
        <v>5.7385059107145864</v>
      </c>
      <c r="F25" s="22">
        <f t="shared" si="1"/>
        <v>5.6849393868547207</v>
      </c>
      <c r="H25" s="27">
        <v>1982</v>
      </c>
      <c r="I25" s="28">
        <f t="shared" si="2"/>
        <v>-3.6059240180296381</v>
      </c>
      <c r="J25" s="16">
        <f t="shared" si="3"/>
        <v>-6.5217391304347778</v>
      </c>
      <c r="R25" s="7"/>
      <c r="U25" s="20"/>
      <c r="V25" s="20"/>
      <c r="W25" s="20"/>
    </row>
    <row r="26" spans="2:23" ht="15" x14ac:dyDescent="0.25">
      <c r="B26" s="11">
        <v>1982</v>
      </c>
      <c r="C26" s="9">
        <v>299.39999999999998</v>
      </c>
      <c r="D26" s="9">
        <v>275.2</v>
      </c>
      <c r="E26" s="29">
        <f t="shared" si="0"/>
        <v>5.7017804719855283</v>
      </c>
      <c r="F26" s="22">
        <f t="shared" si="1"/>
        <v>5.6174981060591884</v>
      </c>
      <c r="H26" s="27">
        <v>1983</v>
      </c>
      <c r="I26" s="28">
        <f t="shared" si="2"/>
        <v>8.1830327321309237</v>
      </c>
      <c r="J26" s="16">
        <f t="shared" si="3"/>
        <v>-3.3066860465116199</v>
      </c>
      <c r="R26" s="7"/>
      <c r="U26" s="20"/>
      <c r="V26" s="20"/>
      <c r="W26" s="20"/>
    </row>
    <row r="27" spans="2:23" ht="15" x14ac:dyDescent="0.25">
      <c r="B27" s="11">
        <v>1983</v>
      </c>
      <c r="C27" s="9">
        <v>323.89999999999998</v>
      </c>
      <c r="D27" s="9">
        <v>266.10000000000002</v>
      </c>
      <c r="E27" s="29">
        <f t="shared" si="0"/>
        <v>5.7804348261772835</v>
      </c>
      <c r="F27" s="22">
        <f t="shared" si="1"/>
        <v>5.5838721779836433</v>
      </c>
      <c r="H27" s="27">
        <v>1984</v>
      </c>
      <c r="I27" s="28">
        <f t="shared" si="2"/>
        <v>23.556653288051876</v>
      </c>
      <c r="J27" s="16">
        <f t="shared" si="3"/>
        <v>9.3949642991356654</v>
      </c>
      <c r="R27" s="7"/>
      <c r="U27" s="20"/>
      <c r="V27" s="20"/>
      <c r="W27" s="20"/>
    </row>
    <row r="28" spans="2:23" ht="15" x14ac:dyDescent="0.25">
      <c r="B28" s="11">
        <v>1984</v>
      </c>
      <c r="C28" s="9">
        <v>400.2</v>
      </c>
      <c r="D28" s="9">
        <v>291.10000000000002</v>
      </c>
      <c r="E28" s="29">
        <f t="shared" si="0"/>
        <v>5.9919644221496329</v>
      </c>
      <c r="F28" s="22">
        <f t="shared" si="1"/>
        <v>5.6736668507515775</v>
      </c>
      <c r="H28" s="27">
        <v>1985</v>
      </c>
      <c r="I28" s="28">
        <f t="shared" si="2"/>
        <v>2.6986506746626615</v>
      </c>
      <c r="J28" s="16">
        <f t="shared" si="3"/>
        <v>-0.68704912401236218</v>
      </c>
      <c r="R28" s="7"/>
      <c r="U28" s="20"/>
      <c r="V28" s="20"/>
      <c r="W28" s="20"/>
    </row>
    <row r="29" spans="2:23" ht="15" x14ac:dyDescent="0.25">
      <c r="B29" s="11">
        <v>1985</v>
      </c>
      <c r="C29" s="9">
        <v>411</v>
      </c>
      <c r="D29" s="9">
        <v>289.10000000000002</v>
      </c>
      <c r="E29" s="29">
        <f t="shared" si="0"/>
        <v>6.0185932144962342</v>
      </c>
      <c r="F29" s="22">
        <f t="shared" si="1"/>
        <v>5.6667726490223007</v>
      </c>
      <c r="H29" s="27">
        <v>1986</v>
      </c>
      <c r="I29" s="28">
        <f t="shared" si="2"/>
        <v>9.1484184914842004</v>
      </c>
      <c r="J29" s="16">
        <f t="shared" si="3"/>
        <v>7.2293324109304669</v>
      </c>
      <c r="R29" s="7"/>
      <c r="U29" s="20"/>
      <c r="V29" s="20"/>
      <c r="W29" s="20"/>
    </row>
    <row r="30" spans="2:23" ht="15" x14ac:dyDescent="0.25">
      <c r="B30" s="11">
        <v>1986</v>
      </c>
      <c r="C30" s="9">
        <v>448.6</v>
      </c>
      <c r="D30" s="9">
        <v>310</v>
      </c>
      <c r="E30" s="29">
        <f t="shared" si="0"/>
        <v>6.1061316220861084</v>
      </c>
      <c r="F30" s="22">
        <f t="shared" si="1"/>
        <v>5.7365722974791922</v>
      </c>
      <c r="H30" s="27">
        <v>1987</v>
      </c>
      <c r="I30" s="28">
        <f t="shared" si="2"/>
        <v>11.591618368256796</v>
      </c>
      <c r="J30" s="16">
        <f t="shared" si="3"/>
        <v>12.548387096774194</v>
      </c>
      <c r="R30" s="7"/>
      <c r="U30" s="20"/>
      <c r="V30" s="20"/>
      <c r="W30" s="20"/>
    </row>
    <row r="31" spans="2:23" ht="15" x14ac:dyDescent="0.25">
      <c r="B31" s="11">
        <v>1987</v>
      </c>
      <c r="C31" s="9">
        <v>500.6</v>
      </c>
      <c r="D31" s="9">
        <v>348.9</v>
      </c>
      <c r="E31" s="29">
        <f t="shared" si="0"/>
        <v>6.215807378997674</v>
      </c>
      <c r="F31" s="22">
        <f t="shared" si="1"/>
        <v>5.8547853481927286</v>
      </c>
      <c r="H31" s="27">
        <v>1988</v>
      </c>
      <c r="I31" s="28">
        <f t="shared" si="2"/>
        <v>9.0091889732321295</v>
      </c>
      <c r="J31" s="16">
        <f t="shared" si="3"/>
        <v>23.588420750931505</v>
      </c>
      <c r="R31" s="7"/>
      <c r="U31" s="20"/>
      <c r="V31" s="20"/>
      <c r="W31" s="20"/>
    </row>
    <row r="32" spans="2:23" ht="15" x14ac:dyDescent="0.25">
      <c r="B32" s="11">
        <v>1988</v>
      </c>
      <c r="C32" s="9">
        <v>545.70000000000005</v>
      </c>
      <c r="D32" s="9">
        <v>431.2</v>
      </c>
      <c r="E32" s="29">
        <f t="shared" si="0"/>
        <v>6.302069374192186</v>
      </c>
      <c r="F32" s="22">
        <f t="shared" si="1"/>
        <v>6.066572019594787</v>
      </c>
      <c r="H32" s="27">
        <v>1989</v>
      </c>
      <c r="I32" s="28">
        <f t="shared" si="2"/>
        <v>6.3038299431922296</v>
      </c>
      <c r="J32" s="16">
        <f t="shared" si="3"/>
        <v>12.940630797773656</v>
      </c>
      <c r="R32" s="7"/>
      <c r="U32" s="20"/>
      <c r="V32" s="20"/>
      <c r="W32" s="20"/>
    </row>
    <row r="33" spans="2:23" ht="15" x14ac:dyDescent="0.25">
      <c r="B33" s="11">
        <v>1989</v>
      </c>
      <c r="C33" s="9">
        <v>580.1</v>
      </c>
      <c r="D33" s="9">
        <v>487</v>
      </c>
      <c r="E33" s="29">
        <f t="shared" si="0"/>
        <v>6.3632005024720186</v>
      </c>
      <c r="F33" s="22">
        <f t="shared" si="1"/>
        <v>6.1882641230825897</v>
      </c>
      <c r="H33" s="27">
        <v>1990</v>
      </c>
      <c r="I33" s="28">
        <f t="shared" si="2"/>
        <v>6.2058265816238523</v>
      </c>
      <c r="J33" s="16">
        <f t="shared" si="3"/>
        <v>9.8973305954825452</v>
      </c>
      <c r="R33" s="7"/>
      <c r="U33" s="20"/>
      <c r="V33" s="20"/>
      <c r="W33" s="20"/>
    </row>
    <row r="34" spans="2:23" ht="15" x14ac:dyDescent="0.25">
      <c r="B34" s="11">
        <v>1990</v>
      </c>
      <c r="C34" s="9">
        <v>616.1</v>
      </c>
      <c r="D34" s="9">
        <v>535.20000000000005</v>
      </c>
      <c r="E34" s="29">
        <f t="shared" si="0"/>
        <v>6.4234092880205251</v>
      </c>
      <c r="F34" s="22">
        <f t="shared" si="1"/>
        <v>6.2826405088140191</v>
      </c>
      <c r="H34" s="27">
        <v>1991</v>
      </c>
      <c r="I34" s="28">
        <f t="shared" si="2"/>
        <v>-1.0712546664502498</v>
      </c>
      <c r="J34" s="16">
        <f t="shared" si="3"/>
        <v>8.0530642750373573</v>
      </c>
      <c r="R34" s="7"/>
      <c r="U34" s="20"/>
      <c r="V34" s="20"/>
      <c r="W34" s="20"/>
    </row>
    <row r="35" spans="2:23" ht="15" x14ac:dyDescent="0.25">
      <c r="B35" s="11">
        <v>1991</v>
      </c>
      <c r="C35" s="9">
        <v>609.5</v>
      </c>
      <c r="D35" s="9">
        <v>578.29999999999995</v>
      </c>
      <c r="E35" s="29">
        <f t="shared" si="0"/>
        <v>6.4126389489213258</v>
      </c>
      <c r="F35" s="22">
        <f t="shared" si="1"/>
        <v>6.3600927651641728</v>
      </c>
      <c r="H35" s="27">
        <v>1992</v>
      </c>
      <c r="I35" s="28">
        <f t="shared" si="2"/>
        <v>7.6456111566858054</v>
      </c>
      <c r="J35" s="16">
        <f t="shared" si="3"/>
        <v>6.674736296040118</v>
      </c>
      <c r="R35" s="7"/>
      <c r="U35" s="20"/>
      <c r="V35" s="20"/>
      <c r="W35" s="20"/>
    </row>
    <row r="36" spans="2:23" ht="15" x14ac:dyDescent="0.25">
      <c r="B36" s="11">
        <v>1992</v>
      </c>
      <c r="C36" s="9">
        <v>656.1</v>
      </c>
      <c r="D36" s="9">
        <v>616.9</v>
      </c>
      <c r="E36" s="29">
        <f t="shared" ref="E36:E61" si="4">LN(C36)</f>
        <v>6.4863132163508315</v>
      </c>
      <c r="F36" s="22">
        <f t="shared" ref="F36:F61" si="5">LN(D36)</f>
        <v>6.4247069362155926</v>
      </c>
      <c r="H36" s="27">
        <v>1993</v>
      </c>
      <c r="I36" s="28">
        <f t="shared" si="2"/>
        <v>8.7029416247523361</v>
      </c>
      <c r="J36" s="16">
        <f t="shared" si="3"/>
        <v>4.2146214945696148</v>
      </c>
      <c r="R36" s="7"/>
      <c r="U36" s="20"/>
      <c r="V36" s="20"/>
      <c r="W36" s="20"/>
    </row>
    <row r="37" spans="2:23" ht="15" x14ac:dyDescent="0.25">
      <c r="B37" s="11">
        <v>1993</v>
      </c>
      <c r="C37" s="9">
        <v>713.2</v>
      </c>
      <c r="D37" s="9">
        <v>642.9</v>
      </c>
      <c r="E37" s="29">
        <f t="shared" si="4"/>
        <v>6.569761885988985</v>
      </c>
      <c r="F37" s="22">
        <f t="shared" si="5"/>
        <v>6.4659891911476413</v>
      </c>
      <c r="H37" s="27">
        <v>1994</v>
      </c>
      <c r="I37" s="28">
        <f t="shared" si="2"/>
        <v>12.408861469433541</v>
      </c>
      <c r="J37" s="16">
        <f t="shared" si="3"/>
        <v>9.3949292269404303</v>
      </c>
      <c r="R37" s="7"/>
      <c r="U37" s="20"/>
      <c r="V37" s="20"/>
      <c r="W37" s="20"/>
    </row>
    <row r="38" spans="2:23" ht="15" x14ac:dyDescent="0.25">
      <c r="B38" s="11">
        <v>1994</v>
      </c>
      <c r="C38" s="9">
        <v>801.7</v>
      </c>
      <c r="D38" s="9">
        <v>703.3</v>
      </c>
      <c r="E38" s="29">
        <f t="shared" si="4"/>
        <v>6.6867344730489062</v>
      </c>
      <c r="F38" s="22">
        <f t="shared" si="5"/>
        <v>6.5557835433139724</v>
      </c>
      <c r="H38" s="27">
        <v>1995</v>
      </c>
      <c r="I38" s="28">
        <f t="shared" si="2"/>
        <v>11.113882998627901</v>
      </c>
      <c r="J38" s="16">
        <f t="shared" si="3"/>
        <v>12.953220531778765</v>
      </c>
      <c r="R38" s="7"/>
      <c r="U38" s="20"/>
      <c r="V38" s="20"/>
      <c r="W38" s="20"/>
    </row>
    <row r="39" spans="2:23" ht="15" x14ac:dyDescent="0.25">
      <c r="B39" s="11">
        <v>1995</v>
      </c>
      <c r="C39" s="9">
        <v>890.8</v>
      </c>
      <c r="D39" s="9">
        <v>794.4</v>
      </c>
      <c r="E39" s="29">
        <f t="shared" si="4"/>
        <v>6.7921199353832122</v>
      </c>
      <c r="F39" s="22">
        <f t="shared" si="5"/>
        <v>6.6775871127309632</v>
      </c>
      <c r="H39" s="27">
        <v>1996</v>
      </c>
      <c r="I39" s="28">
        <f t="shared" si="2"/>
        <v>7.2855859901212572</v>
      </c>
      <c r="J39" s="16">
        <f t="shared" si="3"/>
        <v>7.200402819738172</v>
      </c>
      <c r="R39" s="7"/>
      <c r="U39" s="20"/>
      <c r="V39" s="20"/>
      <c r="W39" s="20"/>
    </row>
    <row r="40" spans="2:23" ht="15" x14ac:dyDescent="0.25">
      <c r="B40" s="11">
        <v>1996</v>
      </c>
      <c r="C40" s="9">
        <v>955.7</v>
      </c>
      <c r="D40" s="9">
        <v>851.6</v>
      </c>
      <c r="E40" s="29">
        <f t="shared" si="4"/>
        <v>6.8624440562721336</v>
      </c>
      <c r="F40" s="22">
        <f t="shared" si="5"/>
        <v>6.7471169330193241</v>
      </c>
      <c r="H40" s="27">
        <v>1997</v>
      </c>
      <c r="I40" s="28">
        <f t="shared" si="2"/>
        <v>9.1032750863241585</v>
      </c>
      <c r="J40" s="16">
        <f t="shared" si="3"/>
        <v>9.7346171911695691</v>
      </c>
      <c r="R40" s="7"/>
      <c r="U40" s="20"/>
      <c r="V40" s="20"/>
      <c r="W40" s="20"/>
    </row>
    <row r="41" spans="2:23" ht="15" x14ac:dyDescent="0.25">
      <c r="B41" s="11">
        <v>1997</v>
      </c>
      <c r="C41" s="9">
        <v>1042.7</v>
      </c>
      <c r="D41" s="9">
        <v>934.5</v>
      </c>
      <c r="E41" s="29">
        <f t="shared" si="4"/>
        <v>6.9495687817955476</v>
      </c>
      <c r="F41" s="22">
        <f t="shared" si="5"/>
        <v>6.8400116268956177</v>
      </c>
      <c r="H41" s="27">
        <v>1998</v>
      </c>
      <c r="I41" s="28">
        <f t="shared" si="2"/>
        <v>5.4282152105111559</v>
      </c>
      <c r="J41" s="16">
        <f t="shared" si="3"/>
        <v>-0.1391118245050782</v>
      </c>
      <c r="R41" s="7"/>
      <c r="U41" s="20"/>
      <c r="V41" s="20"/>
      <c r="W41" s="20"/>
    </row>
    <row r="42" spans="2:23" ht="15" x14ac:dyDescent="0.25">
      <c r="B42" s="11">
        <v>1998</v>
      </c>
      <c r="C42" s="9">
        <v>1099.3</v>
      </c>
      <c r="D42" s="9">
        <v>933.2</v>
      </c>
      <c r="E42" s="29">
        <f t="shared" si="4"/>
        <v>7.0024288925848177</v>
      </c>
      <c r="F42" s="22">
        <f t="shared" si="5"/>
        <v>6.8386195401472749</v>
      </c>
      <c r="H42" s="27">
        <v>1999</v>
      </c>
      <c r="I42" s="28">
        <f t="shared" si="2"/>
        <v>11.752933685072332</v>
      </c>
      <c r="J42" s="16">
        <f t="shared" si="3"/>
        <v>3.9327046720960102</v>
      </c>
      <c r="R42" s="7"/>
      <c r="U42" s="20"/>
      <c r="V42" s="20"/>
      <c r="W42" s="20"/>
    </row>
    <row r="43" spans="2:23" ht="15" x14ac:dyDescent="0.25">
      <c r="B43" s="11">
        <v>1999</v>
      </c>
      <c r="C43" s="9">
        <v>1228.5</v>
      </c>
      <c r="D43" s="9">
        <v>969.9</v>
      </c>
      <c r="E43" s="29">
        <f t="shared" si="4"/>
        <v>7.1135491919612335</v>
      </c>
      <c r="F43" s="22">
        <f t="shared" si="5"/>
        <v>6.877192973399497</v>
      </c>
      <c r="H43" s="27">
        <v>2000</v>
      </c>
      <c r="I43" s="28">
        <f t="shared" si="2"/>
        <v>17.851037851037855</v>
      </c>
      <c r="J43" s="16">
        <f t="shared" si="3"/>
        <v>10.867099701000104</v>
      </c>
      <c r="R43" s="7"/>
      <c r="U43" s="20"/>
      <c r="V43" s="20"/>
      <c r="W43" s="20"/>
    </row>
    <row r="44" spans="2:23" ht="15" x14ac:dyDescent="0.25">
      <c r="B44" s="11">
        <v>2000</v>
      </c>
      <c r="C44" s="9">
        <v>1447.8</v>
      </c>
      <c r="D44" s="9">
        <v>1075.3</v>
      </c>
      <c r="E44" s="29">
        <f t="shared" si="4"/>
        <v>7.277800441859041</v>
      </c>
      <c r="F44" s="22">
        <f t="shared" si="5"/>
        <v>6.9803549713964808</v>
      </c>
      <c r="H44" s="27">
        <v>2001</v>
      </c>
      <c r="I44" s="28">
        <f t="shared" si="2"/>
        <v>-5.5670672744854155</v>
      </c>
      <c r="J44" s="16">
        <f t="shared" si="3"/>
        <v>-6.4726122942434632</v>
      </c>
      <c r="R44" s="7"/>
      <c r="U44" s="20"/>
      <c r="V44" s="20"/>
      <c r="W44" s="20"/>
    </row>
    <row r="45" spans="2:23" ht="15" x14ac:dyDescent="0.25">
      <c r="B45" s="11">
        <v>2001</v>
      </c>
      <c r="C45" s="9">
        <v>1367.2</v>
      </c>
      <c r="D45" s="9">
        <v>1005.7</v>
      </c>
      <c r="E45" s="29">
        <f t="shared" si="4"/>
        <v>7.220520131801381</v>
      </c>
      <c r="F45" s="22">
        <f t="shared" si="5"/>
        <v>6.9134390954504346</v>
      </c>
      <c r="H45" s="27">
        <v>2002</v>
      </c>
      <c r="I45" s="28">
        <f t="shared" si="2"/>
        <v>2.2308367466354673</v>
      </c>
      <c r="J45" s="16">
        <f t="shared" si="3"/>
        <v>-2.684697225812871</v>
      </c>
      <c r="R45" s="7"/>
      <c r="U45" s="20"/>
      <c r="V45" s="20"/>
      <c r="W45" s="20"/>
    </row>
    <row r="46" spans="2:23" ht="15" x14ac:dyDescent="0.25">
      <c r="B46" s="11">
        <v>2002</v>
      </c>
      <c r="C46" s="9">
        <v>1397.7</v>
      </c>
      <c r="D46" s="9">
        <v>978.7</v>
      </c>
      <c r="E46" s="29">
        <f t="shared" si="4"/>
        <v>7.242583307490861</v>
      </c>
      <c r="F46" s="22">
        <f t="shared" si="5"/>
        <v>6.8862251604317741</v>
      </c>
      <c r="H46" s="27">
        <v>2003</v>
      </c>
      <c r="I46" s="28">
        <f t="shared" si="2"/>
        <v>8.3422765972669399</v>
      </c>
      <c r="J46" s="16">
        <f t="shared" si="3"/>
        <v>4.2607540615101636</v>
      </c>
      <c r="R46" s="7"/>
      <c r="U46" s="20"/>
      <c r="V46" s="20"/>
      <c r="W46" s="20"/>
    </row>
    <row r="47" spans="2:23" ht="15" x14ac:dyDescent="0.25">
      <c r="B47" s="11">
        <v>2003</v>
      </c>
      <c r="C47" s="9">
        <v>1514.3</v>
      </c>
      <c r="D47" s="9">
        <v>1020.4</v>
      </c>
      <c r="E47" s="29">
        <f t="shared" si="4"/>
        <v>7.3227085649626096</v>
      </c>
      <c r="F47" s="22">
        <f t="shared" si="5"/>
        <v>6.9279499862676559</v>
      </c>
      <c r="H47" s="27">
        <v>2004</v>
      </c>
      <c r="I47" s="28">
        <f t="shared" si="2"/>
        <v>16.978141715644202</v>
      </c>
      <c r="J47" s="16">
        <f t="shared" si="3"/>
        <v>13.827910623284989</v>
      </c>
      <c r="R47" s="7"/>
      <c r="U47" s="20"/>
      <c r="V47" s="20"/>
      <c r="W47" s="20"/>
    </row>
    <row r="48" spans="2:23" ht="15" x14ac:dyDescent="0.25">
      <c r="B48" s="11">
        <v>2004</v>
      </c>
      <c r="C48" s="9">
        <v>1771.4</v>
      </c>
      <c r="D48" s="9">
        <v>1161.5</v>
      </c>
      <c r="E48" s="29">
        <f t="shared" si="4"/>
        <v>7.4795254733754826</v>
      </c>
      <c r="F48" s="22">
        <f t="shared" si="5"/>
        <v>7.057467552210464</v>
      </c>
      <c r="H48" s="27">
        <v>2005</v>
      </c>
      <c r="I48" s="28">
        <f t="shared" si="2"/>
        <v>12.921982612622784</v>
      </c>
      <c r="J48" s="16">
        <f t="shared" si="3"/>
        <v>10.718897976754205</v>
      </c>
      <c r="R48" s="7"/>
      <c r="U48" s="20"/>
      <c r="V48" s="20"/>
      <c r="W48" s="20"/>
    </row>
    <row r="49" spans="2:23" ht="15" x14ac:dyDescent="0.25">
      <c r="B49" s="11">
        <v>2005</v>
      </c>
      <c r="C49" s="9">
        <v>2000.3</v>
      </c>
      <c r="D49" s="9">
        <v>1286</v>
      </c>
      <c r="E49" s="29">
        <f t="shared" si="4"/>
        <v>7.6010524482932071</v>
      </c>
      <c r="F49" s="22">
        <f t="shared" si="5"/>
        <v>7.1592919047975645</v>
      </c>
      <c r="H49" s="27">
        <v>2006</v>
      </c>
      <c r="I49" s="28">
        <f t="shared" si="2"/>
        <v>10.953356996450548</v>
      </c>
      <c r="J49" s="16">
        <f t="shared" si="3"/>
        <v>13.343701399688946</v>
      </c>
      <c r="R49" s="7"/>
      <c r="U49" s="20"/>
      <c r="V49" s="20"/>
      <c r="W49" s="20"/>
    </row>
    <row r="50" spans="2:23" ht="15" x14ac:dyDescent="0.25">
      <c r="B50" s="11">
        <v>2006</v>
      </c>
      <c r="C50" s="9">
        <v>2219.4</v>
      </c>
      <c r="D50" s="9">
        <v>1457.6</v>
      </c>
      <c r="E50" s="29">
        <f t="shared" si="4"/>
        <v>7.7049921680664637</v>
      </c>
      <c r="F50" s="22">
        <f t="shared" si="5"/>
        <v>7.2845465265056939</v>
      </c>
      <c r="H50" s="27">
        <v>2007</v>
      </c>
      <c r="I50" s="28">
        <f t="shared" si="2"/>
        <v>6.2854825628548161</v>
      </c>
      <c r="J50" s="16">
        <f t="shared" si="3"/>
        <v>13.439901207464322</v>
      </c>
      <c r="R50" s="7"/>
      <c r="U50" s="20"/>
      <c r="V50" s="20"/>
      <c r="W50" s="20"/>
    </row>
    <row r="51" spans="2:23" ht="15" x14ac:dyDescent="0.25">
      <c r="B51" s="11">
        <v>2007</v>
      </c>
      <c r="C51" s="9">
        <v>2358.9</v>
      </c>
      <c r="D51" s="9">
        <v>1653.5</v>
      </c>
      <c r="E51" s="29">
        <f t="shared" si="4"/>
        <v>7.7659506876655797</v>
      </c>
      <c r="F51" s="22">
        <f t="shared" si="5"/>
        <v>7.4106495324218473</v>
      </c>
      <c r="H51" s="27">
        <v>2008</v>
      </c>
      <c r="I51" s="28">
        <f t="shared" si="2"/>
        <v>8.1139514180338388</v>
      </c>
      <c r="J51" s="16">
        <f t="shared" si="3"/>
        <v>11.375869368007251</v>
      </c>
      <c r="R51" s="7"/>
      <c r="U51" s="20"/>
      <c r="V51" s="20"/>
      <c r="W51" s="20"/>
    </row>
    <row r="52" spans="2:23" ht="15" x14ac:dyDescent="0.25">
      <c r="B52" s="11">
        <v>2008</v>
      </c>
      <c r="C52" s="9">
        <v>2550.3000000000002</v>
      </c>
      <c r="D52" s="9">
        <v>1841.6</v>
      </c>
      <c r="E52" s="29">
        <f t="shared" si="4"/>
        <v>7.8439662782914228</v>
      </c>
      <c r="F52" s="22">
        <f t="shared" si="5"/>
        <v>7.5183900379676185</v>
      </c>
      <c r="H52" s="27">
        <v>2009</v>
      </c>
      <c r="I52" s="28">
        <f t="shared" si="2"/>
        <v>-22.879661216327495</v>
      </c>
      <c r="J52" s="16">
        <f t="shared" si="3"/>
        <v>-14.036707211120769</v>
      </c>
      <c r="R52" s="7"/>
      <c r="U52" s="20"/>
      <c r="V52" s="20"/>
      <c r="W52" s="20"/>
    </row>
    <row r="53" spans="2:23" s="2" customFormat="1" ht="15" x14ac:dyDescent="0.25">
      <c r="B53" s="13">
        <v>2009</v>
      </c>
      <c r="C53" s="18">
        <v>1966.8</v>
      </c>
      <c r="D53" s="18">
        <v>1583.1</v>
      </c>
      <c r="E53" s="29">
        <f t="shared" si="4"/>
        <v>7.5841631355377839</v>
      </c>
      <c r="F53" s="22">
        <f t="shared" si="5"/>
        <v>7.3671402290797321</v>
      </c>
      <c r="H53" s="27">
        <v>2010</v>
      </c>
      <c r="I53" s="28">
        <f t="shared" si="2"/>
        <v>19.396990034573935</v>
      </c>
      <c r="J53" s="16">
        <f t="shared" si="3"/>
        <v>17.048828248373461</v>
      </c>
      <c r="R53" s="14"/>
      <c r="U53" s="20"/>
      <c r="V53" s="20"/>
      <c r="W53" s="20"/>
    </row>
    <row r="54" spans="2:23" ht="15" x14ac:dyDescent="0.25">
      <c r="B54" s="11">
        <v>2010</v>
      </c>
      <c r="C54" s="9">
        <v>2348.3000000000002</v>
      </c>
      <c r="D54" s="9">
        <v>1853</v>
      </c>
      <c r="E54" s="29">
        <f t="shared" si="4"/>
        <v>7.76144694109977</v>
      </c>
      <c r="F54" s="22">
        <f t="shared" si="5"/>
        <v>7.5245612262853596</v>
      </c>
      <c r="H54" s="27">
        <v>2011</v>
      </c>
      <c r="I54" s="28">
        <f t="shared" si="2"/>
        <v>13.937742196482539</v>
      </c>
      <c r="J54" s="16">
        <f t="shared" si="3"/>
        <v>14.727468969239066</v>
      </c>
      <c r="R54" s="7"/>
      <c r="U54" s="20"/>
      <c r="V54" s="20"/>
      <c r="W54" s="20"/>
    </row>
    <row r="55" spans="2:23" ht="15" x14ac:dyDescent="0.25">
      <c r="B55" s="11">
        <v>2011</v>
      </c>
      <c r="C55" s="9">
        <v>2675.6</v>
      </c>
      <c r="D55" s="9">
        <v>2125.9</v>
      </c>
      <c r="E55" s="29">
        <f t="shared" si="4"/>
        <v>7.8919289332442526</v>
      </c>
      <c r="F55" s="22">
        <f t="shared" si="5"/>
        <v>7.6619505211070162</v>
      </c>
      <c r="H55" s="27">
        <v>2012</v>
      </c>
      <c r="I55" s="28">
        <f t="shared" si="2"/>
        <v>2.9974585139781906</v>
      </c>
      <c r="J55" s="16">
        <f t="shared" si="3"/>
        <v>4.3510983583423535</v>
      </c>
      <c r="R55" s="7"/>
      <c r="U55" s="20"/>
      <c r="V55" s="20"/>
      <c r="W55" s="20"/>
    </row>
    <row r="56" spans="2:23" ht="15" x14ac:dyDescent="0.25">
      <c r="B56" s="11">
        <v>2012</v>
      </c>
      <c r="C56" s="9">
        <v>2755.8</v>
      </c>
      <c r="D56" s="9">
        <v>2218.4</v>
      </c>
      <c r="E56" s="29">
        <f t="shared" si="4"/>
        <v>7.9214630605598026</v>
      </c>
      <c r="F56" s="22">
        <f t="shared" si="5"/>
        <v>7.7045414943015684</v>
      </c>
      <c r="H56" s="27">
        <v>2013</v>
      </c>
      <c r="I56" s="28">
        <f t="shared" si="2"/>
        <v>-1.8143551781701905E-2</v>
      </c>
      <c r="J56" s="16">
        <f t="shared" si="3"/>
        <v>3.4168770284889849</v>
      </c>
      <c r="R56" s="7"/>
      <c r="U56" s="20"/>
      <c r="V56" s="20"/>
      <c r="W56" s="20"/>
    </row>
    <row r="57" spans="2:23" ht="15" x14ac:dyDescent="0.25">
      <c r="B57" s="11">
        <v>2013</v>
      </c>
      <c r="C57" s="9">
        <v>2755.3</v>
      </c>
      <c r="D57" s="9">
        <v>2294.1999999999998</v>
      </c>
      <c r="E57" s="29">
        <f t="shared" si="4"/>
        <v>7.9212816085805713</v>
      </c>
      <c r="F57" s="22">
        <f t="shared" si="5"/>
        <v>7.7381394778471675</v>
      </c>
      <c r="H57" s="27">
        <v>2014</v>
      </c>
      <c r="I57" s="28">
        <f t="shared" si="2"/>
        <v>4.0249700577069447</v>
      </c>
      <c r="J57" s="16">
        <f t="shared" si="3"/>
        <v>3.5960247580856031</v>
      </c>
      <c r="R57" s="7"/>
      <c r="U57" s="20"/>
      <c r="V57" s="20"/>
      <c r="W57" s="20"/>
    </row>
    <row r="58" spans="2:23" ht="15" x14ac:dyDescent="0.25">
      <c r="B58" s="11">
        <v>2014</v>
      </c>
      <c r="C58" s="9">
        <v>2866.2</v>
      </c>
      <c r="D58" s="9">
        <v>2376.6999999999998</v>
      </c>
      <c r="E58" s="29">
        <f t="shared" si="4"/>
        <v>7.9607423896239711</v>
      </c>
      <c r="F58" s="22">
        <f t="shared" si="5"/>
        <v>7.7734682498873209</v>
      </c>
      <c r="H58" s="27">
        <v>2015</v>
      </c>
      <c r="I58" s="28">
        <f t="shared" si="2"/>
        <v>-3.5238294606098619</v>
      </c>
      <c r="J58" s="16">
        <f t="shared" si="3"/>
        <v>-4.6282660832246414</v>
      </c>
      <c r="R58" s="7"/>
      <c r="U58" s="20"/>
      <c r="V58" s="20"/>
      <c r="W58" s="20"/>
    </row>
    <row r="59" spans="2:23" ht="15" x14ac:dyDescent="0.25">
      <c r="B59" s="11">
        <v>2015</v>
      </c>
      <c r="C59" s="9">
        <v>2765.2</v>
      </c>
      <c r="D59" s="9">
        <v>2266.6999999999998</v>
      </c>
      <c r="E59" s="29">
        <f t="shared" si="4"/>
        <v>7.92486824407111</v>
      </c>
      <c r="F59" s="22">
        <f t="shared" si="5"/>
        <v>7.7260803082703111</v>
      </c>
      <c r="H59" s="27">
        <v>2016</v>
      </c>
      <c r="I59" s="28">
        <f t="shared" si="2"/>
        <v>-1.6779979748300144</v>
      </c>
      <c r="J59" s="16">
        <f t="shared" si="3"/>
        <v>-2.2455552124233336</v>
      </c>
      <c r="R59" s="7"/>
      <c r="U59" s="20"/>
      <c r="V59" s="20"/>
      <c r="W59" s="20"/>
    </row>
    <row r="60" spans="2:23" ht="15" x14ac:dyDescent="0.25">
      <c r="B60" s="11">
        <v>2016</v>
      </c>
      <c r="C60" s="9">
        <v>2718.8</v>
      </c>
      <c r="D60" s="9">
        <v>2215.8000000000002</v>
      </c>
      <c r="E60" s="29">
        <f t="shared" si="4"/>
        <v>7.9079458854724836</v>
      </c>
      <c r="F60" s="22">
        <f t="shared" si="5"/>
        <v>7.7033687910865725</v>
      </c>
      <c r="H60" s="27">
        <v>2017</v>
      </c>
      <c r="I60" s="28">
        <f t="shared" si="2"/>
        <v>6.7640135353832509</v>
      </c>
      <c r="J60" s="16">
        <f t="shared" si="3"/>
        <v>6.1693293618557465</v>
      </c>
      <c r="R60" s="7"/>
      <c r="U60" s="20"/>
      <c r="V60" s="20"/>
      <c r="W60" s="20"/>
    </row>
    <row r="61" spans="2:23" ht="14.25" x14ac:dyDescent="0.2">
      <c r="B61" s="11">
        <v>2017</v>
      </c>
      <c r="C61" s="9">
        <v>2902.7</v>
      </c>
      <c r="D61" s="9">
        <v>2352.5</v>
      </c>
      <c r="E61" s="29">
        <f t="shared" si="4"/>
        <v>7.9733966173135471</v>
      </c>
      <c r="F61" s="22">
        <f t="shared" si="5"/>
        <v>7.7632338714595344</v>
      </c>
      <c r="H61" s="30">
        <v>2018</v>
      </c>
      <c r="I61" s="31">
        <f t="shared" si="2"/>
        <v>7.7961897543666225</v>
      </c>
      <c r="J61" s="17">
        <f t="shared" si="3"/>
        <v>6.3251859723698178</v>
      </c>
      <c r="R61" s="7"/>
    </row>
    <row r="62" spans="2:23" ht="14.25" x14ac:dyDescent="0.2">
      <c r="B62" s="12">
        <v>2018</v>
      </c>
      <c r="C62" s="19">
        <v>3129</v>
      </c>
      <c r="D62" s="19">
        <v>2501.3000000000002</v>
      </c>
      <c r="E62" s="32">
        <v>8.0484687436688827</v>
      </c>
      <c r="F62" s="23">
        <v>7.8245658757031435</v>
      </c>
      <c r="R62" s="7"/>
    </row>
    <row r="63" spans="2:23" x14ac:dyDescent="0.2">
      <c r="B63"/>
    </row>
    <row r="64" spans="2:23" x14ac:dyDescent="0.2">
      <c r="B64"/>
    </row>
    <row r="65" spans="2:2" x14ac:dyDescent="0.2">
      <c r="B65"/>
    </row>
  </sheetData>
  <mergeCells count="2">
    <mergeCell ref="I2:J2"/>
    <mergeCell ref="K2:L2"/>
  </mergeCells>
  <pageMargins left="0.75" right="0.75" top="1" bottom="1" header="0.5" footer="0.5"/>
  <pageSetup scale="51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Exports and Imports, 1960-2018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2020-03-02T21:12:46Z</cp:lastPrinted>
  <dcterms:created xsi:type="dcterms:W3CDTF">2007-06-14T17:23:25Z</dcterms:created>
  <dcterms:modified xsi:type="dcterms:W3CDTF">2022-08-12T15:56:10Z</dcterms:modified>
</cp:coreProperties>
</file>