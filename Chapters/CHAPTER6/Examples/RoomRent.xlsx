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6\Examples\"/>
    </mc:Choice>
  </mc:AlternateContent>
  <xr:revisionPtr revIDLastSave="0" documentId="13_ncr:1_{520A3159-2796-4E39-9758-BE20E305E778}" xr6:coauthVersionLast="47" xr6:coauthVersionMax="47" xr10:uidLastSave="{00000000-0000-0000-0000-000000000000}"/>
  <bookViews>
    <workbookView xWindow="-26460" yWindow="4680" windowWidth="17880" windowHeight="13380" xr2:uid="{00000000-000D-0000-FFFF-FFFF00000000}"/>
  </bookViews>
  <sheets>
    <sheet name="Room Rentals" sheetId="1" r:id="rId1"/>
    <sheet name="Extra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D4" i="1"/>
  <c r="D5" i="1" s="1"/>
  <c r="D6" i="1" s="1"/>
  <c r="D7" i="1" s="1"/>
  <c r="D8" i="1" s="1"/>
  <c r="D9" i="1" s="1"/>
  <c r="D10" i="1" s="1"/>
  <c r="D11" i="1" s="1"/>
  <c r="O12" i="1" l="1"/>
  <c r="P8" i="1" s="1"/>
  <c r="Q8" i="1" s="1"/>
  <c r="R8" i="1" s="1"/>
  <c r="P6" i="1"/>
  <c r="Q6" i="1" s="1"/>
  <c r="R6" i="1" s="1"/>
  <c r="P11" i="1"/>
  <c r="Q11" i="1" s="1"/>
  <c r="R11" i="1" s="1"/>
  <c r="P4" i="1"/>
  <c r="Q4" i="1" s="1"/>
  <c r="R4" i="1" s="1"/>
  <c r="P10" i="1"/>
  <c r="Q10" i="1" s="1"/>
  <c r="R10" i="1" s="1"/>
  <c r="P7" i="1"/>
  <c r="Q7" i="1" s="1"/>
  <c r="R7" i="1" s="1"/>
  <c r="P9" i="1" l="1"/>
  <c r="Q9" i="1" s="1"/>
  <c r="R9" i="1" s="1"/>
  <c r="P5" i="1"/>
  <c r="Q5" i="1" s="1"/>
  <c r="R5" i="1" s="1"/>
  <c r="R12" i="1" s="1"/>
</calcChain>
</file>

<file path=xl/sharedStrings.xml><?xml version="1.0" encoding="utf-8"?>
<sst xmlns="http://schemas.openxmlformats.org/spreadsheetml/2006/main" count="11" uniqueCount="10">
  <si>
    <t>Room Rentals at Bay Street Inn</t>
  </si>
  <si>
    <t>x</t>
  </si>
  <si>
    <t>PDF</t>
  </si>
  <si>
    <t>CDF</t>
  </si>
  <si>
    <t>P(x)</t>
  </si>
  <si>
    <t>xP(x)</t>
  </si>
  <si>
    <t>Sum:</t>
  </si>
  <si>
    <r>
      <t>x-</t>
    </r>
    <r>
      <rPr>
        <b/>
        <sz val="10"/>
        <color theme="0"/>
        <rFont val="Symbol"/>
        <family val="1"/>
        <charset val="2"/>
      </rPr>
      <t>m</t>
    </r>
  </si>
  <si>
    <r>
      <t>(x-</t>
    </r>
    <r>
      <rPr>
        <b/>
        <sz val="10"/>
        <color theme="0"/>
        <rFont val="Symbol"/>
        <family val="1"/>
        <charset val="2"/>
      </rPr>
      <t>m</t>
    </r>
    <r>
      <rPr>
        <b/>
        <i/>
        <sz val="10"/>
        <color theme="0"/>
        <rFont val="Arial"/>
        <family val="2"/>
      </rPr>
      <t>)</t>
    </r>
    <r>
      <rPr>
        <b/>
        <vertAlign val="superscript"/>
        <sz val="10"/>
        <color theme="0"/>
        <rFont val="Arial"/>
        <family val="2"/>
      </rPr>
      <t>2</t>
    </r>
  </si>
  <si>
    <r>
      <t>(x-</t>
    </r>
    <r>
      <rPr>
        <b/>
        <sz val="10"/>
        <color theme="0"/>
        <rFont val="Symbol"/>
        <family val="1"/>
        <charset val="2"/>
      </rPr>
      <t>m</t>
    </r>
    <r>
      <rPr>
        <b/>
        <i/>
        <sz val="10"/>
        <color theme="0"/>
        <rFont val="Arial"/>
        <family val="2"/>
      </rPr>
      <t>)</t>
    </r>
    <r>
      <rPr>
        <vertAlign val="superscript"/>
        <sz val="10"/>
        <color theme="0"/>
        <rFont val="Arial"/>
        <family val="2"/>
      </rPr>
      <t>2</t>
    </r>
    <r>
      <rPr>
        <b/>
        <i/>
        <sz val="10"/>
        <color theme="0"/>
        <rFont val="Arial"/>
        <family val="2"/>
      </rPr>
      <t>P(x)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</si>
</sst>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8" x14ac:knownFonts="1">
    <font>
      <sz val="10"/>
      <name val="Arial"/>
    </font>
    <font>
      <sz val="8"/>
      <name val="Arial"/>
      <family val="2"/>
    </font>
    <font>
      <i/>
      <sz val="10"/>
      <name val="Arial"/>
      <family val="2"/>
    </font>
    <font>
      <b/>
      <i/>
      <sz val="10"/>
      <color theme="0"/>
      <name val="Arial"/>
      <family val="2"/>
    </font>
    <font>
      <b/>
      <sz val="10"/>
      <color theme="0"/>
      <name val="Symbol"/>
      <family val="1"/>
      <charset val="2"/>
    </font>
    <font>
      <b/>
      <vertAlign val="superscript"/>
      <sz val="10"/>
      <color theme="0"/>
      <name val="Arial"/>
      <family val="2"/>
    </font>
    <font>
      <vertAlign val="superscript"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2" borderId="3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2" fontId="0" fillId="2" borderId="0" xfId="0" applyNumberFormat="1" applyFill="1" applyBorder="1" applyAlignment="1">
      <alignment horizontal="center"/>
    </xf>
    <xf numFmtId="2" fontId="0" fillId="2" borderId="5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2" fontId="0" fillId="2" borderId="7" xfId="0" applyNumberFormat="1" applyFill="1" applyBorder="1" applyAlignment="1">
      <alignment horizontal="center"/>
    </xf>
    <xf numFmtId="2" fontId="0" fillId="2" borderId="8" xfId="0" applyNumberFormat="1" applyFill="1" applyBorder="1" applyAlignment="1">
      <alignment horizontal="center"/>
    </xf>
    <xf numFmtId="164" fontId="0" fillId="2" borderId="2" xfId="0" applyNumberFormat="1" applyFill="1" applyBorder="1"/>
    <xf numFmtId="165" fontId="0" fillId="2" borderId="3" xfId="0" applyNumberFormat="1" applyFill="1" applyBorder="1"/>
    <xf numFmtId="164" fontId="0" fillId="2" borderId="0" xfId="0" applyNumberFormat="1" applyFill="1" applyBorder="1"/>
    <xf numFmtId="165" fontId="0" fillId="2" borderId="5" xfId="0" applyNumberFormat="1" applyFill="1" applyBorder="1"/>
    <xf numFmtId="0" fontId="0" fillId="2" borderId="7" xfId="0" applyFill="1" applyBorder="1"/>
    <xf numFmtId="0" fontId="0" fillId="2" borderId="8" xfId="0" applyFill="1" applyBorder="1" applyAlignment="1">
      <alignment horizontal="center"/>
    </xf>
    <xf numFmtId="0" fontId="2" fillId="0" borderId="0" xfId="0" applyFont="1"/>
    <xf numFmtId="0" fontId="7" fillId="0" borderId="0" xfId="0" applyFont="1"/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616580310880828"/>
          <c:y val="9.6153846153846159E-2"/>
          <c:w val="0.78756476683937826"/>
          <c:h val="0.6615384615384615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'Room Rentals'!$B$4:$B$11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'Room Rentals'!$C$4:$C$11</c:f>
              <c:numCache>
                <c:formatCode>0.00</c:formatCode>
                <c:ptCount val="8"/>
                <c:pt idx="0">
                  <c:v>0.05</c:v>
                </c:pt>
                <c:pt idx="1">
                  <c:v>0.05</c:v>
                </c:pt>
                <c:pt idx="2">
                  <c:v>0.06</c:v>
                </c:pt>
                <c:pt idx="3">
                  <c:v>0.1</c:v>
                </c:pt>
                <c:pt idx="4">
                  <c:v>0.13</c:v>
                </c:pt>
                <c:pt idx="5">
                  <c:v>0.2</c:v>
                </c:pt>
                <c:pt idx="6">
                  <c:v>0.15</c:v>
                </c:pt>
                <c:pt idx="7">
                  <c:v>0.26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B-4FF8-8219-83C84C4D8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1601536"/>
        <c:axId val="151603456"/>
      </c:barChart>
      <c:catAx>
        <c:axId val="151601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Number of Rooms Rented</a:t>
                </a:r>
              </a:p>
            </c:rich>
          </c:tx>
          <c:layout>
            <c:manualLayout>
              <c:xMode val="edge"/>
              <c:yMode val="edge"/>
              <c:x val="0.38082901554404147"/>
              <c:y val="0.8615384615384615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6034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16034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</a:t>
                </a:r>
              </a:p>
            </c:rich>
          </c:tx>
          <c:layout>
            <c:manualLayout>
              <c:xMode val="edge"/>
              <c:yMode val="edge"/>
              <c:x val="4.145077720207254E-2"/>
              <c:y val="0.3076923076923077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601536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571103770752006"/>
          <c:y val="9.6525278499936848E-2"/>
          <c:w val="0.78811568383520025"/>
          <c:h val="0.6602329049395679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'Room Rentals'!$B$4:$B$11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'Room Rentals'!$D$4:$D$11</c:f>
              <c:numCache>
                <c:formatCode>0.00</c:formatCode>
                <c:ptCount val="8"/>
                <c:pt idx="0">
                  <c:v>0.05</c:v>
                </c:pt>
                <c:pt idx="1">
                  <c:v>0.1</c:v>
                </c:pt>
                <c:pt idx="2">
                  <c:v>0.16</c:v>
                </c:pt>
                <c:pt idx="3">
                  <c:v>0.26</c:v>
                </c:pt>
                <c:pt idx="4">
                  <c:v>0.39</c:v>
                </c:pt>
                <c:pt idx="5">
                  <c:v>0.59000000000000008</c:v>
                </c:pt>
                <c:pt idx="6">
                  <c:v>0.7400000000000001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E6-4342-A051-5297737D2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1648128"/>
        <c:axId val="152178688"/>
      </c:barChart>
      <c:catAx>
        <c:axId val="151648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Number of Rooms Rented</a:t>
                </a:r>
              </a:p>
            </c:rich>
          </c:tx>
          <c:layout>
            <c:manualLayout>
              <c:xMode val="edge"/>
              <c:yMode val="edge"/>
              <c:x val="0.37984604637598596"/>
              <c:y val="0.861005482422805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1786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2178688"/>
        <c:scaling>
          <c:orientation val="minMax"/>
          <c:max val="1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</a:t>
                </a:r>
              </a:p>
            </c:rich>
          </c:tx>
          <c:layout>
            <c:manualLayout>
              <c:xMode val="edge"/>
              <c:yMode val="edge"/>
              <c:x val="4.1343669250645997E-2"/>
              <c:y val="0.30501971037404108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648128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0</xdr:rowOff>
    </xdr:from>
    <xdr:to>
      <xdr:col>11</xdr:col>
      <xdr:colOff>38100</xdr:colOff>
      <xdr:row>16</xdr:row>
      <xdr:rowOff>28575</xdr:rowOff>
    </xdr:to>
    <xdr:graphicFrame macro="">
      <xdr:nvGraphicFramePr>
        <xdr:cNvPr id="1032" name="Chart 1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17</xdr:row>
      <xdr:rowOff>0</xdr:rowOff>
    </xdr:from>
    <xdr:to>
      <xdr:col>11</xdr:col>
      <xdr:colOff>28575</xdr:colOff>
      <xdr:row>32</xdr:row>
      <xdr:rowOff>38100</xdr:rowOff>
    </xdr:to>
    <xdr:graphicFrame macro="">
      <xdr:nvGraphicFramePr>
        <xdr:cNvPr id="1033" name="Chart 3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22</xdr:row>
      <xdr:rowOff>0</xdr:rowOff>
    </xdr:from>
    <xdr:to>
      <xdr:col>3</xdr:col>
      <xdr:colOff>542925</xdr:colOff>
      <xdr:row>26</xdr:row>
      <xdr:rowOff>133350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85750" y="3609975"/>
          <a:ext cx="1762125" cy="781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i="1">
              <a:solidFill>
                <a:srgbClr val="C00000"/>
              </a:solidFill>
            </a:rPr>
            <a:t>Note: </a:t>
          </a:r>
          <a:r>
            <a:rPr lang="en-US" sz="1100"/>
            <a:t>For a discrete</a:t>
          </a:r>
          <a:r>
            <a:rPr lang="en-US" sz="1100" baseline="0"/>
            <a:t> disrtibution, the PDF is often called a </a:t>
          </a:r>
          <a:r>
            <a:rPr lang="en-US" sz="1100" i="1" baseline="0">
              <a:solidFill>
                <a:srgbClr val="3333FF"/>
              </a:solidFill>
            </a:rPr>
            <a:t>probability mass function </a:t>
          </a:r>
          <a:r>
            <a:rPr lang="en-US" sz="1100" baseline="0"/>
            <a:t>or PMF.</a:t>
          </a:r>
          <a:endParaRPr lang="en-US" sz="1100"/>
        </a:p>
      </xdr:txBody>
    </xdr:sp>
    <xdr:clientData/>
  </xdr:twoCellAnchor>
  <xdr:twoCellAnchor editAs="oneCell">
    <xdr:from>
      <xdr:col>1</xdr:col>
      <xdr:colOff>66675</xdr:colOff>
      <xdr:row>11</xdr:row>
      <xdr:rowOff>152400</xdr:rowOff>
    </xdr:from>
    <xdr:to>
      <xdr:col>4</xdr:col>
      <xdr:colOff>323850</xdr:colOff>
      <xdr:row>21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FD9879-DB0D-464E-8975-8948A0555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1981200"/>
          <a:ext cx="2085975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R12"/>
  <sheetViews>
    <sheetView showGridLines="0" tabSelected="1" workbookViewId="0"/>
  </sheetViews>
  <sheetFormatPr defaultRowHeight="12.75" x14ac:dyDescent="0.2"/>
  <cols>
    <col min="1" max="1" width="4.28515625" customWidth="1"/>
    <col min="5" max="5" width="7" customWidth="1"/>
    <col min="12" max="12" width="5.85546875" customWidth="1"/>
  </cols>
  <sheetData>
    <row r="1" spans="2:18" ht="15" x14ac:dyDescent="0.2">
      <c r="B1" s="17" t="s">
        <v>0</v>
      </c>
      <c r="M1" s="16"/>
    </row>
    <row r="3" spans="2:18" ht="14.25" x14ac:dyDescent="0.2">
      <c r="B3" s="18" t="s">
        <v>1</v>
      </c>
      <c r="C3" s="19" t="s">
        <v>2</v>
      </c>
      <c r="D3" s="20" t="s">
        <v>3</v>
      </c>
      <c r="M3" s="18" t="s">
        <v>1</v>
      </c>
      <c r="N3" s="19" t="s">
        <v>4</v>
      </c>
      <c r="O3" s="19" t="s">
        <v>5</v>
      </c>
      <c r="P3" s="19" t="s">
        <v>7</v>
      </c>
      <c r="Q3" s="19" t="s">
        <v>8</v>
      </c>
      <c r="R3" s="20" t="s">
        <v>9</v>
      </c>
    </row>
    <row r="4" spans="2:18" x14ac:dyDescent="0.2">
      <c r="B4" s="1">
        <v>0</v>
      </c>
      <c r="C4" s="2">
        <v>0.05</v>
      </c>
      <c r="D4" s="3">
        <f>C4</f>
        <v>0.05</v>
      </c>
      <c r="M4" s="1">
        <v>0</v>
      </c>
      <c r="N4" s="2">
        <v>0.05</v>
      </c>
      <c r="O4" s="2">
        <f>M4*N4</f>
        <v>0</v>
      </c>
      <c r="P4" s="2">
        <f>M4-$O$12</f>
        <v>-4.71</v>
      </c>
      <c r="Q4" s="10">
        <f>P4^2</f>
        <v>22.184100000000001</v>
      </c>
      <c r="R4" s="11">
        <f>Q4*N4</f>
        <v>1.109205</v>
      </c>
    </row>
    <row r="5" spans="2:18" x14ac:dyDescent="0.2">
      <c r="B5" s="4">
        <v>1</v>
      </c>
      <c r="C5" s="5">
        <v>0.05</v>
      </c>
      <c r="D5" s="6">
        <f>D4+C5</f>
        <v>0.1</v>
      </c>
      <c r="M5" s="4">
        <v>1</v>
      </c>
      <c r="N5" s="5">
        <v>0.05</v>
      </c>
      <c r="O5" s="5">
        <f t="shared" ref="O5:O11" si="0">M5*N5</f>
        <v>0.05</v>
      </c>
      <c r="P5" s="5">
        <f t="shared" ref="P5:P11" si="1">M5-$O$12</f>
        <v>-3.71</v>
      </c>
      <c r="Q5" s="12">
        <f t="shared" ref="Q5:Q11" si="2">P5^2</f>
        <v>13.764099999999999</v>
      </c>
      <c r="R5" s="13">
        <f t="shared" ref="R5:R11" si="3">Q5*N5</f>
        <v>0.68820499999999996</v>
      </c>
    </row>
    <row r="6" spans="2:18" x14ac:dyDescent="0.2">
      <c r="B6" s="4">
        <v>2</v>
      </c>
      <c r="C6" s="5">
        <v>0.06</v>
      </c>
      <c r="D6" s="6">
        <f t="shared" ref="D6:D11" si="4">D5+C6</f>
        <v>0.16</v>
      </c>
      <c r="M6" s="4">
        <v>2</v>
      </c>
      <c r="N6" s="5">
        <v>0.06</v>
      </c>
      <c r="O6" s="5">
        <f t="shared" si="0"/>
        <v>0.12</v>
      </c>
      <c r="P6" s="5">
        <f t="shared" si="1"/>
        <v>-2.71</v>
      </c>
      <c r="Q6" s="12">
        <f t="shared" si="2"/>
        <v>7.3441000000000001</v>
      </c>
      <c r="R6" s="13">
        <f t="shared" si="3"/>
        <v>0.44064599999999998</v>
      </c>
    </row>
    <row r="7" spans="2:18" x14ac:dyDescent="0.2">
      <c r="B7" s="4">
        <v>3</v>
      </c>
      <c r="C7" s="5">
        <v>0.1</v>
      </c>
      <c r="D7" s="6">
        <f t="shared" si="4"/>
        <v>0.26</v>
      </c>
      <c r="M7" s="4">
        <v>3</v>
      </c>
      <c r="N7" s="5">
        <v>0.1</v>
      </c>
      <c r="O7" s="5">
        <f t="shared" si="0"/>
        <v>0.30000000000000004</v>
      </c>
      <c r="P7" s="5">
        <f t="shared" si="1"/>
        <v>-1.71</v>
      </c>
      <c r="Q7" s="12">
        <f t="shared" si="2"/>
        <v>2.9240999999999997</v>
      </c>
      <c r="R7" s="13">
        <f t="shared" si="3"/>
        <v>0.29241</v>
      </c>
    </row>
    <row r="8" spans="2:18" x14ac:dyDescent="0.2">
      <c r="B8" s="4">
        <v>4</v>
      </c>
      <c r="C8" s="5">
        <v>0.13</v>
      </c>
      <c r="D8" s="6">
        <f t="shared" si="4"/>
        <v>0.39</v>
      </c>
      <c r="M8" s="4">
        <v>4</v>
      </c>
      <c r="N8" s="5">
        <v>0.13</v>
      </c>
      <c r="O8" s="5">
        <f t="shared" si="0"/>
        <v>0.52</v>
      </c>
      <c r="P8" s="5">
        <f t="shared" si="1"/>
        <v>-0.71</v>
      </c>
      <c r="Q8" s="12">
        <f t="shared" si="2"/>
        <v>0.50409999999999999</v>
      </c>
      <c r="R8" s="13">
        <f t="shared" si="3"/>
        <v>6.5533000000000008E-2</v>
      </c>
    </row>
    <row r="9" spans="2:18" x14ac:dyDescent="0.2">
      <c r="B9" s="4">
        <v>5</v>
      </c>
      <c r="C9" s="5">
        <v>0.2</v>
      </c>
      <c r="D9" s="6">
        <f t="shared" si="4"/>
        <v>0.59000000000000008</v>
      </c>
      <c r="M9" s="4">
        <v>5</v>
      </c>
      <c r="N9" s="5">
        <v>0.2</v>
      </c>
      <c r="O9" s="5">
        <f t="shared" si="0"/>
        <v>1</v>
      </c>
      <c r="P9" s="5">
        <f t="shared" si="1"/>
        <v>0.29000000000000004</v>
      </c>
      <c r="Q9" s="12">
        <f t="shared" si="2"/>
        <v>8.4100000000000022E-2</v>
      </c>
      <c r="R9" s="13">
        <f t="shared" si="3"/>
        <v>1.6820000000000005E-2</v>
      </c>
    </row>
    <row r="10" spans="2:18" x14ac:dyDescent="0.2">
      <c r="B10" s="4">
        <v>6</v>
      </c>
      <c r="C10" s="5">
        <v>0.15</v>
      </c>
      <c r="D10" s="6">
        <f t="shared" si="4"/>
        <v>0.7400000000000001</v>
      </c>
      <c r="M10" s="4">
        <v>6</v>
      </c>
      <c r="N10" s="5">
        <v>0.15</v>
      </c>
      <c r="O10" s="5">
        <f t="shared" si="0"/>
        <v>0.89999999999999991</v>
      </c>
      <c r="P10" s="5">
        <f t="shared" si="1"/>
        <v>1.29</v>
      </c>
      <c r="Q10" s="12">
        <f t="shared" si="2"/>
        <v>1.6641000000000001</v>
      </c>
      <c r="R10" s="13">
        <f t="shared" si="3"/>
        <v>0.249615</v>
      </c>
    </row>
    <row r="11" spans="2:18" x14ac:dyDescent="0.2">
      <c r="B11" s="7">
        <v>7</v>
      </c>
      <c r="C11" s="8">
        <v>0.26</v>
      </c>
      <c r="D11" s="9">
        <f t="shared" si="4"/>
        <v>1</v>
      </c>
      <c r="M11" s="4">
        <v>7</v>
      </c>
      <c r="N11" s="5">
        <v>0.26</v>
      </c>
      <c r="O11" s="5">
        <f t="shared" si="0"/>
        <v>1.82</v>
      </c>
      <c r="P11" s="5">
        <f t="shared" si="1"/>
        <v>2.29</v>
      </c>
      <c r="Q11" s="12">
        <f t="shared" si="2"/>
        <v>5.2441000000000004</v>
      </c>
      <c r="R11" s="13">
        <f t="shared" si="3"/>
        <v>1.3634660000000001</v>
      </c>
    </row>
    <row r="12" spans="2:18" x14ac:dyDescent="0.2">
      <c r="M12" s="7" t="s">
        <v>6</v>
      </c>
      <c r="N12" s="14"/>
      <c r="O12" s="8">
        <f>SUM(O4:O11)</f>
        <v>4.71</v>
      </c>
      <c r="P12" s="8"/>
      <c r="Q12" s="14"/>
      <c r="R12" s="15">
        <f>SUM(R4:R11)</f>
        <v>4.2258999999999993</v>
      </c>
    </row>
  </sheetData>
  <phoneticPr fontId="1" type="noConversion"/>
  <pageMargins left="0.75" right="0.75" top="1" bottom="1" header="0.5" footer="0.5"/>
  <pageSetup scale="80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Room Rentals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Room Rentals</dc:title>
  <dc:subject>Chapter 6 - Examples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2020-03-11T05:07:46Z</cp:lastPrinted>
  <dcterms:created xsi:type="dcterms:W3CDTF">2004-10-09T20:45:04Z</dcterms:created>
  <dcterms:modified xsi:type="dcterms:W3CDTF">2022-08-14T17:50:49Z</dcterms:modified>
</cp:coreProperties>
</file>