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amples\"/>
    </mc:Choice>
  </mc:AlternateContent>
  <xr:revisionPtr revIDLastSave="0" documentId="13_ncr:1_{9CC8238C-7B51-4A3C-91BE-9A0D1EBB1479}" xr6:coauthVersionLast="47" xr6:coauthVersionMax="47" xr10:uidLastSave="{00000000-0000-0000-0000-000000000000}"/>
  <bookViews>
    <workbookView xWindow="3960" yWindow="1365" windowWidth="22695" windowHeight="11610" xr2:uid="{B2F33C0F-19C1-4605-A1E5-ACF607EB1A57}"/>
  </bookViews>
  <sheets>
    <sheet name="Data" sheetId="1" r:id="rId1"/>
    <sheet name="Extra Sheet" sheetId="2" r:id="rId2"/>
  </sheets>
  <definedNames>
    <definedName name="_xlnm.Print_Area" localSheetId="0">Data!$B$1:$R$39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9" i="1" l="1"/>
  <c r="R6" i="1"/>
  <c r="Q6" i="1"/>
  <c r="N15" i="1"/>
  <c r="L15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</calcChain>
</file>

<file path=xl/sharedStrings.xml><?xml version="1.0" encoding="utf-8"?>
<sst xmlns="http://schemas.openxmlformats.org/spreadsheetml/2006/main" count="132" uniqueCount="98">
  <si>
    <t>Obs</t>
  </si>
  <si>
    <t>Company</t>
  </si>
  <si>
    <t>Sector</t>
  </si>
  <si>
    <t xml:space="preserve">Ticker </t>
  </si>
  <si>
    <t>Sector SP500</t>
  </si>
  <si>
    <t>Count</t>
  </si>
  <si>
    <t>Variable</t>
  </si>
  <si>
    <t>Mean</t>
  </si>
  <si>
    <t>StDev</t>
  </si>
  <si>
    <t>CoefVar</t>
  </si>
  <si>
    <t>Min</t>
  </si>
  <si>
    <t>Q1</t>
  </si>
  <si>
    <t>Q2</t>
  </si>
  <si>
    <t>Q3</t>
  </si>
  <si>
    <t>Max</t>
  </si>
  <si>
    <t>Skewness</t>
  </si>
  <si>
    <t>Kurtosis</t>
  </si>
  <si>
    <t>Health Care</t>
  </si>
  <si>
    <t>Communication Services</t>
  </si>
  <si>
    <t>Consumer Discretionary</t>
  </si>
  <si>
    <t>American Electric Power</t>
  </si>
  <si>
    <t>Utilities</t>
  </si>
  <si>
    <t>AEP</t>
  </si>
  <si>
    <t>Consumer Staples</t>
  </si>
  <si>
    <t>Align Technology</t>
  </si>
  <si>
    <t>ALGN</t>
  </si>
  <si>
    <t>Energy</t>
  </si>
  <si>
    <t>Financials</t>
  </si>
  <si>
    <t>American Tower Corp A</t>
  </si>
  <si>
    <t>Real Estate</t>
  </si>
  <si>
    <t>AMT</t>
  </si>
  <si>
    <t>Bank of America</t>
  </si>
  <si>
    <t>BAC</t>
  </si>
  <si>
    <t>Industrials</t>
  </si>
  <si>
    <t>Information Technology</t>
  </si>
  <si>
    <t>Materials</t>
  </si>
  <si>
    <t>BorgWarner</t>
  </si>
  <si>
    <t>BWA</t>
  </si>
  <si>
    <t>Colgate-Palmolive</t>
  </si>
  <si>
    <t>CL</t>
  </si>
  <si>
    <t>Cummins Inc.</t>
  </si>
  <si>
    <t>CMI</t>
  </si>
  <si>
    <t>CenterPoint Energy</t>
  </si>
  <si>
    <t>CNP</t>
  </si>
  <si>
    <t>DaVita</t>
  </si>
  <si>
    <t>DVA</t>
  </si>
  <si>
    <t>Devon Energy</t>
  </si>
  <si>
    <t>DVN</t>
  </si>
  <si>
    <t>Eastman Chemical Co</t>
  </si>
  <si>
    <t>EMN</t>
  </si>
  <si>
    <t>Alphabet (Class C)</t>
  </si>
  <si>
    <t>GOOG</t>
  </si>
  <si>
    <t>Genuine Parts</t>
  </si>
  <si>
    <t>GPC</t>
  </si>
  <si>
    <t>Humana</t>
  </si>
  <si>
    <t>HUM</t>
  </si>
  <si>
    <t>IBM</t>
  </si>
  <si>
    <t>Intel</t>
  </si>
  <si>
    <t>INTC</t>
  </si>
  <si>
    <t>News Corp (Class A)</t>
  </si>
  <si>
    <t>NWSA</t>
  </si>
  <si>
    <t>Realty Income Corporation</t>
  </si>
  <si>
    <t>O</t>
  </si>
  <si>
    <t>O'Reilly Automotive</t>
  </si>
  <si>
    <t>ORLY</t>
  </si>
  <si>
    <t>PepsiCo Inc.</t>
  </si>
  <si>
    <t>PEP</t>
  </si>
  <si>
    <t>Public Storage</t>
  </si>
  <si>
    <t>PSA</t>
  </si>
  <si>
    <t>RoperTechnologies</t>
  </si>
  <si>
    <t>ROP</t>
  </si>
  <si>
    <t>TE Connectivity</t>
  </si>
  <si>
    <t>TEL</t>
  </si>
  <si>
    <t>Newell Brands</t>
  </si>
  <si>
    <t>NWL</t>
  </si>
  <si>
    <t>NVR</t>
  </si>
  <si>
    <t>Diff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</si>
  <si>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</si>
  <si>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</si>
  <si>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</si>
  <si>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</si>
  <si>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</si>
  <si>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</si>
  <si>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</si>
  <si>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</si>
  <si>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</si>
  <si>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</si>
  <si>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</si>
  <si>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n</t>
  </si>
  <si>
    <t>Total</t>
  </si>
  <si>
    <t xml:space="preserve"> Sample</t>
  </si>
  <si>
    <t>All S&amp;P 500</t>
  </si>
  <si>
    <t>Jan 3</t>
  </si>
  <si>
    <t>Jun 30</t>
  </si>
  <si>
    <t>Price-Earnings Ratios for Randomly-Chosen S&amp;P 500 Stocks</t>
  </si>
  <si>
    <t>Statistic</t>
  </si>
  <si>
    <t>Pct</t>
  </si>
  <si>
    <t>Sample 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</si>
</sst>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i/>
      <sz val="10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/>
    <xf numFmtId="165" fontId="0" fillId="0" borderId="0" xfId="0" applyNumberFormat="1"/>
    <xf numFmtId="2" fontId="0" fillId="0" borderId="0" xfId="0" applyNumberFormat="1"/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/>
    </xf>
    <xf numFmtId="2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/>
    <xf numFmtId="0" fontId="1" fillId="0" borderId="12" xfId="0" applyFont="1" applyBorder="1" applyAlignment="1">
      <alignment horizontal="left"/>
    </xf>
    <xf numFmtId="2" fontId="0" fillId="0" borderId="12" xfId="0" applyNumberForma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0" fontId="0" fillId="0" borderId="9" xfId="0" applyBorder="1"/>
    <xf numFmtId="164" fontId="0" fillId="0" borderId="0" xfId="0" applyNumberFormat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3" fillId="0" borderId="4" xfId="0" quotePrefix="1" applyFont="1" applyBorder="1" applyAlignment="1">
      <alignment horizontal="center"/>
    </xf>
    <xf numFmtId="14" fontId="4" fillId="4" borderId="5" xfId="0" quotePrefix="1" applyNumberFormat="1" applyFont="1" applyFill="1" applyBorder="1" applyAlignment="1">
      <alignment horizontal="center"/>
    </xf>
    <xf numFmtId="0" fontId="4" fillId="4" borderId="1" xfId="0" quotePrefix="1" applyFont="1" applyFill="1" applyBorder="1" applyAlignment="1">
      <alignment horizontal="center"/>
    </xf>
    <xf numFmtId="16" fontId="4" fillId="4" borderId="1" xfId="0" quotePrefix="1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4" fillId="4" borderId="1" xfId="0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65942</xdr:colOff>
      <xdr:row>29</xdr:row>
      <xdr:rowOff>12089</xdr:rowOff>
    </xdr:from>
    <xdr:to>
      <xdr:col>7</xdr:col>
      <xdr:colOff>293076</xdr:colOff>
      <xdr:row>38</xdr:row>
      <xdr:rowOff>36635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F7A44FC-D6EC-4CFC-8DCC-10E663EAB892}"/>
            </a:ext>
          </a:extLst>
        </xdr:cNvPr>
        <xdr:cNvSpPr/>
      </xdr:nvSpPr>
      <xdr:spPr>
        <a:xfrm>
          <a:off x="410307" y="4723301"/>
          <a:ext cx="5663711" cy="1482603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List of S&amp;P 500 companies from en.wikipedia.org accessed July 10, 2022. Price-earnings ratios are from www.macrotrends.net accessed August 16, 2022. Each S&amp;P 500 company on the alphabetical list was assigned a random number using Excel’s =RAND() function. Companies were then sorted on the =RAND() column. The first </a:t>
          </a:r>
          <a:r>
            <a:rPr lang="en-US" sz="1100" b="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companies on the sorted list were chosen as a random sample, excluding companies that this not have a price-earnings ratio for both dates. Companies with a zero price-earnings ratio or a ratio over 1000 were excluded on grounds that their circumstances made them incomparable to the others.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23</xdr:col>
      <xdr:colOff>0</xdr:colOff>
      <xdr:row>16</xdr:row>
      <xdr:rowOff>124558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A860DD-6E94-CA9C-0A17-FAE6488B2835}"/>
            </a:ext>
          </a:extLst>
        </xdr:cNvPr>
        <xdr:cNvSpPr txBox="1"/>
      </xdr:nvSpPr>
      <xdr:spPr>
        <a:xfrm>
          <a:off x="16676077" y="27329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13</xdr:col>
      <xdr:colOff>87924</xdr:colOff>
      <xdr:row>21</xdr:row>
      <xdr:rowOff>109904</xdr:rowOff>
    </xdr:from>
    <xdr:to>
      <xdr:col>17</xdr:col>
      <xdr:colOff>283292</xdr:colOff>
      <xdr:row>31</xdr:row>
      <xdr:rowOff>71606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3952D64-B9A0-4D6D-A797-7E45AFDE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2328" y="3524250"/>
          <a:ext cx="2085714" cy="1580952"/>
        </a:xfrm>
        <a:prstGeom prst="rect">
          <a:avLst/>
        </a:prstGeom>
      </xdr:spPr>
    </xdr:pic>
    <xdr:clientData/>
  </xdr:twoCellAnchor>
  <xdr:twoCellAnchor>
    <xdr:from>
      <xdr:col>9</xdr:col>
      <xdr:colOff>36634</xdr:colOff>
      <xdr:row>15</xdr:row>
      <xdr:rowOff>51291</xdr:rowOff>
    </xdr:from>
    <xdr:to>
      <xdr:col>13</xdr:col>
      <xdr:colOff>73269</xdr:colOff>
      <xdr:row>19</xdr:row>
      <xdr:rowOff>109905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2866A35-C727-4301-AE42-EA613F76EF75}"/>
            </a:ext>
          </a:extLst>
        </xdr:cNvPr>
        <xdr:cNvSpPr/>
      </xdr:nvSpPr>
      <xdr:spPr>
        <a:xfrm>
          <a:off x="6696807" y="2498483"/>
          <a:ext cx="2820866" cy="703384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Comment: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sampled stocks provide a reasonable representation of stocks in the S&amp;P 500 list by sector.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C641-2282-434A-827B-DB6A606FF0DF}">
  <sheetPr>
    <pageSetUpPr fitToPage="1"/>
  </sheetPr>
  <dimension ref="A1:W83"/>
  <sheetViews>
    <sheetView showGridLines="0" tabSelected="1" zoomScaleNormal="100" workbookViewId="0"/>
  </sheetViews>
  <sheetFormatPr defaultRowHeight="12.75" x14ac:dyDescent="0.2"/>
  <cols>
    <col min="1" max="1" width="5.140625" customWidth="1"/>
    <col min="2" max="2" width="8.140625" customWidth="1"/>
    <col min="3" max="3" width="23.42578125" bestFit="1" customWidth="1"/>
    <col min="4" max="4" width="21.85546875" bestFit="1" customWidth="1"/>
    <col min="5" max="5" width="7.7109375" style="2" bestFit="1" customWidth="1"/>
    <col min="6" max="6" width="10.7109375" style="2" bestFit="1" customWidth="1"/>
    <col min="7" max="7" width="9.7109375" bestFit="1" customWidth="1"/>
    <col min="8" max="8" width="5.5703125" bestFit="1" customWidth="1"/>
    <col min="9" max="9" width="7.5703125" customWidth="1"/>
    <col min="10" max="10" width="27.85546875" customWidth="1"/>
    <col min="11" max="11" width="6.28515625" customWidth="1"/>
    <col min="12" max="12" width="7.140625" bestFit="1" customWidth="1"/>
    <col min="13" max="13" width="6" bestFit="1" customWidth="1"/>
    <col min="14" max="14" width="5.5703125" bestFit="1" customWidth="1"/>
    <col min="15" max="15" width="6.5703125" style="2" customWidth="1"/>
    <col min="16" max="16" width="9.5703125" style="2" bestFit="1" customWidth="1"/>
    <col min="17" max="17" width="6.5703125" style="2" bestFit="1" customWidth="1"/>
    <col min="18" max="18" width="7.42578125" bestFit="1" customWidth="1"/>
    <col min="19" max="19" width="6.42578125" customWidth="1"/>
    <col min="21" max="21" width="32.42578125" bestFit="1" customWidth="1"/>
    <col min="22" max="22" width="7.42578125" bestFit="1" customWidth="1"/>
    <col min="23" max="23" width="7" bestFit="1" customWidth="1"/>
  </cols>
  <sheetData>
    <row r="1" spans="2:19" ht="15" x14ac:dyDescent="0.2">
      <c r="B1" s="1" t="s">
        <v>94</v>
      </c>
      <c r="Q1"/>
    </row>
    <row r="2" spans="2:19" x14ac:dyDescent="0.2">
      <c r="K2" s="53" t="s">
        <v>91</v>
      </c>
      <c r="L2" s="53"/>
      <c r="M2" s="54" t="s">
        <v>90</v>
      </c>
      <c r="N2" s="54"/>
      <c r="Q2"/>
    </row>
    <row r="3" spans="2:19" x14ac:dyDescent="0.2">
      <c r="B3" s="8" t="s">
        <v>0</v>
      </c>
      <c r="C3" s="9" t="s">
        <v>1</v>
      </c>
      <c r="D3" s="9" t="s">
        <v>2</v>
      </c>
      <c r="E3" s="9" t="s">
        <v>3</v>
      </c>
      <c r="F3" s="44" t="s">
        <v>92</v>
      </c>
      <c r="G3" s="44" t="s">
        <v>93</v>
      </c>
      <c r="H3" s="24" t="s">
        <v>76</v>
      </c>
      <c r="J3" s="3" t="s">
        <v>4</v>
      </c>
      <c r="K3" s="48" t="s">
        <v>5</v>
      </c>
      <c r="L3" s="48" t="s">
        <v>96</v>
      </c>
      <c r="M3" s="48" t="s">
        <v>5</v>
      </c>
      <c r="N3" s="48" t="s">
        <v>96</v>
      </c>
      <c r="P3" s="3" t="s">
        <v>6</v>
      </c>
      <c r="Q3" s="45" t="s">
        <v>92</v>
      </c>
      <c r="R3" s="46" t="s">
        <v>93</v>
      </c>
    </row>
    <row r="4" spans="2:19" x14ac:dyDescent="0.2">
      <c r="B4" s="10">
        <v>1</v>
      </c>
      <c r="C4" s="11" t="s">
        <v>24</v>
      </c>
      <c r="D4" s="11" t="s">
        <v>17</v>
      </c>
      <c r="E4" s="12" t="s">
        <v>25</v>
      </c>
      <c r="F4" s="13">
        <v>67.819999999999993</v>
      </c>
      <c r="G4" s="13">
        <v>30.3</v>
      </c>
      <c r="H4" s="25">
        <f>F4-G4</f>
        <v>37.519999999999996</v>
      </c>
      <c r="J4" s="28" t="s">
        <v>18</v>
      </c>
      <c r="K4" s="29">
        <v>27</v>
      </c>
      <c r="L4" s="30">
        <v>5.35</v>
      </c>
      <c r="M4" s="29">
        <v>2</v>
      </c>
      <c r="N4" s="31">
        <v>8</v>
      </c>
      <c r="P4" s="38" t="s">
        <v>88</v>
      </c>
      <c r="Q4" s="39">
        <v>25</v>
      </c>
      <c r="R4" s="40">
        <v>25</v>
      </c>
    </row>
    <row r="5" spans="2:19" x14ac:dyDescent="0.2">
      <c r="B5" s="14">
        <v>2</v>
      </c>
      <c r="C5" t="s">
        <v>50</v>
      </c>
      <c r="D5" t="s">
        <v>18</v>
      </c>
      <c r="E5" s="15" t="s">
        <v>51</v>
      </c>
      <c r="F5" s="16">
        <v>25.79</v>
      </c>
      <c r="G5" s="16">
        <v>20.34</v>
      </c>
      <c r="H5" s="26">
        <f t="shared" ref="H5:H28" si="0">F5-G5</f>
        <v>5.4499999999999993</v>
      </c>
      <c r="J5" s="32" t="s">
        <v>19</v>
      </c>
      <c r="K5" s="4">
        <v>61</v>
      </c>
      <c r="L5" s="33">
        <v>12.08</v>
      </c>
      <c r="M5" s="4">
        <v>5</v>
      </c>
      <c r="N5" s="34">
        <v>20</v>
      </c>
      <c r="P5" s="41" t="s">
        <v>7</v>
      </c>
      <c r="Q5" s="6">
        <v>26.361600000000003</v>
      </c>
      <c r="R5" s="52">
        <v>19.6876</v>
      </c>
      <c r="S5" s="6"/>
    </row>
    <row r="6" spans="2:19" x14ac:dyDescent="0.2">
      <c r="B6" s="14">
        <v>3</v>
      </c>
      <c r="C6" t="s">
        <v>20</v>
      </c>
      <c r="D6" t="s">
        <v>21</v>
      </c>
      <c r="E6" s="15" t="s">
        <v>22</v>
      </c>
      <c r="F6" s="16">
        <v>17.64</v>
      </c>
      <c r="G6" s="16">
        <v>18.850000000000001</v>
      </c>
      <c r="H6" s="26">
        <f t="shared" si="0"/>
        <v>-1.2100000000000009</v>
      </c>
      <c r="J6" s="32" t="s">
        <v>23</v>
      </c>
      <c r="K6" s="4">
        <v>32</v>
      </c>
      <c r="L6" s="33">
        <v>6.34</v>
      </c>
      <c r="M6" s="4">
        <v>2</v>
      </c>
      <c r="N6" s="34">
        <v>8</v>
      </c>
      <c r="P6" s="41" t="s">
        <v>8</v>
      </c>
      <c r="Q6" s="51">
        <f>SQRT(K25)</f>
        <v>17.737770829503908</v>
      </c>
      <c r="R6" s="52">
        <f>SQRT(L25)</f>
        <v>13.4060195683382</v>
      </c>
    </row>
    <row r="7" spans="2:19" x14ac:dyDescent="0.2">
      <c r="B7" s="14">
        <v>4</v>
      </c>
      <c r="C7" t="s">
        <v>28</v>
      </c>
      <c r="D7" t="s">
        <v>29</v>
      </c>
      <c r="E7" s="15" t="s">
        <v>30</v>
      </c>
      <c r="F7" s="16">
        <v>51.09</v>
      </c>
      <c r="G7" s="16">
        <v>42.11</v>
      </c>
      <c r="H7" s="26">
        <f t="shared" si="0"/>
        <v>8.980000000000004</v>
      </c>
      <c r="J7" s="32" t="s">
        <v>26</v>
      </c>
      <c r="K7" s="4">
        <v>21</v>
      </c>
      <c r="L7" s="33">
        <v>4.16</v>
      </c>
      <c r="M7" s="4">
        <v>1</v>
      </c>
      <c r="N7" s="34">
        <v>4</v>
      </c>
      <c r="P7" s="41" t="s">
        <v>9</v>
      </c>
      <c r="Q7" s="49">
        <v>67.290000000000006</v>
      </c>
      <c r="R7" s="50">
        <v>68.09</v>
      </c>
    </row>
    <row r="8" spans="2:19" x14ac:dyDescent="0.2">
      <c r="B8" s="14">
        <v>5</v>
      </c>
      <c r="C8" t="s">
        <v>31</v>
      </c>
      <c r="D8" t="s">
        <v>27</v>
      </c>
      <c r="E8" s="15" t="s">
        <v>32</v>
      </c>
      <c r="F8" s="16">
        <v>12.33</v>
      </c>
      <c r="G8" s="16">
        <v>9.6999999999999993</v>
      </c>
      <c r="H8" s="26">
        <f t="shared" si="0"/>
        <v>2.6300000000000008</v>
      </c>
      <c r="J8" s="32" t="s">
        <v>27</v>
      </c>
      <c r="K8" s="4">
        <v>67</v>
      </c>
      <c r="L8" s="33">
        <v>13.27</v>
      </c>
      <c r="M8" s="4">
        <v>1</v>
      </c>
      <c r="N8" s="34">
        <v>4</v>
      </c>
      <c r="P8" s="41" t="s">
        <v>10</v>
      </c>
      <c r="Q8" s="16">
        <v>10.16</v>
      </c>
      <c r="R8" s="26">
        <v>6.98</v>
      </c>
    </row>
    <row r="9" spans="2:19" x14ac:dyDescent="0.2">
      <c r="B9" s="14">
        <v>6</v>
      </c>
      <c r="C9" t="s">
        <v>36</v>
      </c>
      <c r="D9" t="s">
        <v>19</v>
      </c>
      <c r="E9" s="15" t="s">
        <v>37</v>
      </c>
      <c r="F9" s="16">
        <v>12.35</v>
      </c>
      <c r="G9" s="17">
        <v>12.41</v>
      </c>
      <c r="H9" s="26">
        <f t="shared" si="0"/>
        <v>-6.0000000000000497E-2</v>
      </c>
      <c r="J9" s="32" t="s">
        <v>17</v>
      </c>
      <c r="K9" s="4">
        <v>64</v>
      </c>
      <c r="L9" s="33">
        <v>12.67</v>
      </c>
      <c r="M9" s="4">
        <v>3</v>
      </c>
      <c r="N9" s="34">
        <v>12</v>
      </c>
      <c r="P9" s="41" t="s">
        <v>11</v>
      </c>
      <c r="Q9" s="16">
        <v>14.2</v>
      </c>
      <c r="R9" s="26">
        <v>10.52</v>
      </c>
    </row>
    <row r="10" spans="2:19" x14ac:dyDescent="0.2">
      <c r="B10" s="14">
        <v>7</v>
      </c>
      <c r="C10" t="s">
        <v>42</v>
      </c>
      <c r="D10" t="s">
        <v>21</v>
      </c>
      <c r="E10" s="18" t="s">
        <v>43</v>
      </c>
      <c r="F10" s="16">
        <v>12.1</v>
      </c>
      <c r="G10" s="17">
        <v>12.07</v>
      </c>
      <c r="H10" s="26">
        <f t="shared" si="0"/>
        <v>2.9999999999999361E-2</v>
      </c>
      <c r="J10" s="32" t="s">
        <v>33</v>
      </c>
      <c r="K10" s="4">
        <v>73</v>
      </c>
      <c r="L10" s="33">
        <v>14.46</v>
      </c>
      <c r="M10" s="4">
        <v>2</v>
      </c>
      <c r="N10" s="34">
        <v>8</v>
      </c>
      <c r="P10" s="41" t="s">
        <v>12</v>
      </c>
      <c r="Q10" s="16">
        <v>20.54</v>
      </c>
      <c r="R10" s="26">
        <v>14.77</v>
      </c>
    </row>
    <row r="11" spans="2:19" x14ac:dyDescent="0.2">
      <c r="B11" s="14">
        <v>8</v>
      </c>
      <c r="C11" t="s">
        <v>38</v>
      </c>
      <c r="D11" t="s">
        <v>23</v>
      </c>
      <c r="E11" s="15" t="s">
        <v>39</v>
      </c>
      <c r="F11" s="16">
        <v>32.89</v>
      </c>
      <c r="G11" s="16">
        <v>34.630000000000003</v>
      </c>
      <c r="H11" s="26">
        <f t="shared" si="0"/>
        <v>-1.740000000000002</v>
      </c>
      <c r="J11" s="32" t="s">
        <v>34</v>
      </c>
      <c r="K11" s="4">
        <v>75</v>
      </c>
      <c r="L11" s="33">
        <v>14.85</v>
      </c>
      <c r="M11" s="4">
        <v>3</v>
      </c>
      <c r="N11" s="34">
        <v>12</v>
      </c>
      <c r="P11" s="41" t="s">
        <v>13</v>
      </c>
      <c r="Q11" s="16">
        <v>32.049999999999997</v>
      </c>
      <c r="R11" s="26">
        <v>24.01</v>
      </c>
    </row>
    <row r="12" spans="2:19" x14ac:dyDescent="0.2">
      <c r="B12" s="14">
        <v>9</v>
      </c>
      <c r="C12" t="s">
        <v>40</v>
      </c>
      <c r="D12" t="s">
        <v>33</v>
      </c>
      <c r="E12" s="15" t="s">
        <v>41</v>
      </c>
      <c r="F12" s="16">
        <v>14.73</v>
      </c>
      <c r="G12" s="17">
        <v>13.53</v>
      </c>
      <c r="H12" s="26">
        <f t="shared" si="0"/>
        <v>1.2000000000000011</v>
      </c>
      <c r="J12" s="32" t="s">
        <v>35</v>
      </c>
      <c r="K12" s="4">
        <v>28</v>
      </c>
      <c r="L12" s="33">
        <v>5.54</v>
      </c>
      <c r="M12" s="4">
        <v>1</v>
      </c>
      <c r="N12" s="34">
        <v>4</v>
      </c>
      <c r="P12" s="41" t="s">
        <v>14</v>
      </c>
      <c r="Q12" s="16">
        <v>80.260000000000005</v>
      </c>
      <c r="R12" s="26">
        <v>68.72</v>
      </c>
    </row>
    <row r="13" spans="2:19" x14ac:dyDescent="0.2">
      <c r="B13" s="14">
        <v>10</v>
      </c>
      <c r="C13" t="s">
        <v>44</v>
      </c>
      <c r="D13" t="s">
        <v>17</v>
      </c>
      <c r="E13" s="18" t="s">
        <v>45</v>
      </c>
      <c r="F13" s="16">
        <v>13.66</v>
      </c>
      <c r="G13" s="17">
        <v>9.9</v>
      </c>
      <c r="H13" s="26">
        <f t="shared" si="0"/>
        <v>3.76</v>
      </c>
      <c r="J13" s="32" t="s">
        <v>29</v>
      </c>
      <c r="K13" s="4">
        <v>29</v>
      </c>
      <c r="L13" s="33">
        <v>5.74</v>
      </c>
      <c r="M13" s="4">
        <v>3</v>
      </c>
      <c r="N13" s="34">
        <v>12</v>
      </c>
      <c r="P13" s="41" t="s">
        <v>15</v>
      </c>
      <c r="Q13" s="16">
        <v>1.84</v>
      </c>
      <c r="R13" s="26">
        <v>2.34</v>
      </c>
    </row>
    <row r="14" spans="2:19" x14ac:dyDescent="0.2">
      <c r="B14" s="14">
        <v>11</v>
      </c>
      <c r="C14" t="s">
        <v>46</v>
      </c>
      <c r="D14" t="s">
        <v>26</v>
      </c>
      <c r="E14" s="18" t="s">
        <v>47</v>
      </c>
      <c r="F14" s="16">
        <v>10.16</v>
      </c>
      <c r="G14" s="17">
        <v>6.98</v>
      </c>
      <c r="H14" s="26">
        <f t="shared" si="0"/>
        <v>3.1799999999999997</v>
      </c>
      <c r="J14" s="32" t="s">
        <v>21</v>
      </c>
      <c r="K14" s="4">
        <v>28</v>
      </c>
      <c r="L14" s="33">
        <v>5.54</v>
      </c>
      <c r="M14" s="4">
        <v>2</v>
      </c>
      <c r="N14" s="34">
        <v>8</v>
      </c>
      <c r="P14" s="42" t="s">
        <v>16</v>
      </c>
      <c r="Q14" s="23">
        <v>3.2</v>
      </c>
      <c r="R14" s="27">
        <v>6.85</v>
      </c>
    </row>
    <row r="15" spans="2:19" x14ac:dyDescent="0.2">
      <c r="B15" s="14">
        <v>12</v>
      </c>
      <c r="C15" s="19" t="s">
        <v>48</v>
      </c>
      <c r="D15" t="s">
        <v>35</v>
      </c>
      <c r="E15" s="15" t="s">
        <v>49</v>
      </c>
      <c r="F15" s="16">
        <v>19.059999999999999</v>
      </c>
      <c r="G15" s="16">
        <v>9.8000000000000007</v>
      </c>
      <c r="H15" s="26">
        <f t="shared" si="0"/>
        <v>9.259999999999998</v>
      </c>
      <c r="J15" s="20" t="s">
        <v>89</v>
      </c>
      <c r="K15" s="35">
        <v>505</v>
      </c>
      <c r="L15" s="36">
        <f>SUM(L4:L14)</f>
        <v>100.00000000000001</v>
      </c>
      <c r="M15" s="35">
        <v>25</v>
      </c>
      <c r="N15" s="37">
        <f>SUM(N4:N14)</f>
        <v>100</v>
      </c>
    </row>
    <row r="16" spans="2:19" x14ac:dyDescent="0.2">
      <c r="B16" s="14">
        <v>13</v>
      </c>
      <c r="C16" t="s">
        <v>52</v>
      </c>
      <c r="D16" t="s">
        <v>19</v>
      </c>
      <c r="E16" s="15" t="s">
        <v>53</v>
      </c>
      <c r="F16" s="16">
        <v>22.2</v>
      </c>
      <c r="G16" s="16">
        <v>17.25</v>
      </c>
      <c r="H16" s="26">
        <f t="shared" si="0"/>
        <v>4.9499999999999993</v>
      </c>
    </row>
    <row r="17" spans="2:19" x14ac:dyDescent="0.2">
      <c r="B17" s="14">
        <v>14</v>
      </c>
      <c r="C17" t="s">
        <v>54</v>
      </c>
      <c r="D17" t="s">
        <v>17</v>
      </c>
      <c r="E17" s="15" t="s">
        <v>55</v>
      </c>
      <c r="F17" s="16">
        <v>20.39</v>
      </c>
      <c r="G17" s="16">
        <v>19.100000000000001</v>
      </c>
      <c r="H17" s="26">
        <f t="shared" si="0"/>
        <v>1.2899999999999991</v>
      </c>
    </row>
    <row r="18" spans="2:19" x14ac:dyDescent="0.2">
      <c r="B18" s="14">
        <v>15</v>
      </c>
      <c r="C18" t="s">
        <v>56</v>
      </c>
      <c r="D18" t="s">
        <v>34</v>
      </c>
      <c r="E18" s="18" t="s">
        <v>56</v>
      </c>
      <c r="F18" s="16">
        <v>20.54</v>
      </c>
      <c r="G18" s="16">
        <v>22.92</v>
      </c>
      <c r="H18" s="26">
        <f t="shared" si="0"/>
        <v>-2.3800000000000026</v>
      </c>
    </row>
    <row r="19" spans="2:19" x14ac:dyDescent="0.2">
      <c r="B19" s="14">
        <v>16</v>
      </c>
      <c r="C19" t="s">
        <v>57</v>
      </c>
      <c r="D19" t="s">
        <v>34</v>
      </c>
      <c r="E19" s="15" t="s">
        <v>58</v>
      </c>
      <c r="F19" s="16">
        <v>10.33</v>
      </c>
      <c r="G19" s="16">
        <v>8.01</v>
      </c>
      <c r="H19" s="26">
        <f t="shared" si="0"/>
        <v>2.3200000000000003</v>
      </c>
    </row>
    <row r="20" spans="2:19" x14ac:dyDescent="0.2">
      <c r="B20" s="14">
        <v>17</v>
      </c>
      <c r="C20" t="s">
        <v>73</v>
      </c>
      <c r="D20" t="s">
        <v>19</v>
      </c>
      <c r="E20" t="s">
        <v>74</v>
      </c>
      <c r="F20" s="16">
        <v>15.98</v>
      </c>
      <c r="G20" s="17">
        <v>11.13</v>
      </c>
      <c r="H20" s="26">
        <f t="shared" si="0"/>
        <v>4.8499999999999996</v>
      </c>
    </row>
    <row r="21" spans="2:19" x14ac:dyDescent="0.2">
      <c r="B21" s="14">
        <v>18</v>
      </c>
      <c r="C21" t="s">
        <v>59</v>
      </c>
      <c r="D21" t="s">
        <v>18</v>
      </c>
      <c r="E21" s="18" t="s">
        <v>60</v>
      </c>
      <c r="F21" s="16">
        <v>26.43</v>
      </c>
      <c r="G21" s="17">
        <v>14.7</v>
      </c>
      <c r="H21" s="26">
        <f t="shared" si="0"/>
        <v>11.73</v>
      </c>
    </row>
    <row r="22" spans="2:19" ht="13.5" thickBot="1" x14ac:dyDescent="0.25">
      <c r="B22" s="14">
        <v>19</v>
      </c>
      <c r="C22" t="s">
        <v>75</v>
      </c>
      <c r="D22" t="s">
        <v>19</v>
      </c>
      <c r="E22" t="s">
        <v>75</v>
      </c>
      <c r="F22" s="16">
        <v>18.440000000000001</v>
      </c>
      <c r="G22" s="17">
        <v>9.65</v>
      </c>
      <c r="H22" s="26">
        <f t="shared" si="0"/>
        <v>8.7900000000000009</v>
      </c>
      <c r="J22" t="s">
        <v>77</v>
      </c>
    </row>
    <row r="23" spans="2:19" x14ac:dyDescent="0.2">
      <c r="B23" s="14">
        <v>20</v>
      </c>
      <c r="C23" t="s">
        <v>63</v>
      </c>
      <c r="D23" t="s">
        <v>19</v>
      </c>
      <c r="E23" s="15" t="s">
        <v>64</v>
      </c>
      <c r="F23" s="16">
        <v>22.71</v>
      </c>
      <c r="G23" s="16">
        <v>19.95</v>
      </c>
      <c r="H23" s="26">
        <f t="shared" si="0"/>
        <v>2.7600000000000016</v>
      </c>
      <c r="J23" s="47" t="s">
        <v>95</v>
      </c>
      <c r="K23" s="43" t="s">
        <v>92</v>
      </c>
      <c r="L23" s="43" t="s">
        <v>93</v>
      </c>
    </row>
    <row r="24" spans="2:19" x14ac:dyDescent="0.2">
      <c r="B24" s="14">
        <v>21</v>
      </c>
      <c r="C24" t="s">
        <v>65</v>
      </c>
      <c r="D24" t="s">
        <v>23</v>
      </c>
      <c r="E24" s="15" t="s">
        <v>66</v>
      </c>
      <c r="F24" s="16">
        <v>31.22</v>
      </c>
      <c r="G24" s="16">
        <v>25.1</v>
      </c>
      <c r="H24" s="26">
        <f t="shared" si="0"/>
        <v>6.1199999999999974</v>
      </c>
      <c r="J24" t="s">
        <v>7</v>
      </c>
      <c r="K24" s="6">
        <v>26.361600000000003</v>
      </c>
      <c r="L24" s="6">
        <v>19.6876</v>
      </c>
    </row>
    <row r="25" spans="2:19" x14ac:dyDescent="0.2">
      <c r="B25" s="14">
        <v>22</v>
      </c>
      <c r="C25" t="s">
        <v>67</v>
      </c>
      <c r="D25" t="s">
        <v>29</v>
      </c>
      <c r="E25" s="18" t="s">
        <v>68</v>
      </c>
      <c r="F25" s="16">
        <v>33.93</v>
      </c>
      <c r="G25" s="17">
        <v>25.6</v>
      </c>
      <c r="H25" s="26">
        <f t="shared" si="0"/>
        <v>8.3299999999999983</v>
      </c>
      <c r="J25" t="s">
        <v>78</v>
      </c>
      <c r="K25" s="7">
        <v>314.62851399999983</v>
      </c>
      <c r="L25" s="7">
        <v>179.72136066666675</v>
      </c>
      <c r="M25" s="4"/>
      <c r="N25" s="4"/>
      <c r="O25"/>
      <c r="R25" s="2"/>
    </row>
    <row r="26" spans="2:19" x14ac:dyDescent="0.2">
      <c r="B26" s="14">
        <v>23</v>
      </c>
      <c r="C26" t="s">
        <v>61</v>
      </c>
      <c r="D26" t="s">
        <v>29</v>
      </c>
      <c r="E26" s="18" t="s">
        <v>62</v>
      </c>
      <c r="F26" s="16">
        <v>80.260000000000005</v>
      </c>
      <c r="G26" s="17">
        <v>68.72</v>
      </c>
      <c r="H26" s="26">
        <f t="shared" si="0"/>
        <v>11.540000000000006</v>
      </c>
      <c r="J26" t="s">
        <v>79</v>
      </c>
      <c r="K26">
        <v>25</v>
      </c>
      <c r="L26">
        <v>25</v>
      </c>
      <c r="O26" s="4"/>
      <c r="R26" s="2"/>
      <c r="S26" s="4"/>
    </row>
    <row r="27" spans="2:19" x14ac:dyDescent="0.2">
      <c r="B27" s="14">
        <v>24</v>
      </c>
      <c r="C27" s="19" t="s">
        <v>69</v>
      </c>
      <c r="D27" t="s">
        <v>33</v>
      </c>
      <c r="E27" s="15" t="s">
        <v>70</v>
      </c>
      <c r="F27" s="16">
        <v>45.27</v>
      </c>
      <c r="G27" s="16">
        <v>14.67</v>
      </c>
      <c r="H27" s="26">
        <f t="shared" si="0"/>
        <v>30.6</v>
      </c>
      <c r="J27" t="s">
        <v>80</v>
      </c>
      <c r="K27">
        <v>0.86114165893316452</v>
      </c>
      <c r="O27"/>
      <c r="R27" s="2"/>
      <c r="S27" s="2"/>
    </row>
    <row r="28" spans="2:19" x14ac:dyDescent="0.2">
      <c r="B28" s="20">
        <v>25</v>
      </c>
      <c r="C28" s="21" t="s">
        <v>71</v>
      </c>
      <c r="D28" s="21" t="s">
        <v>34</v>
      </c>
      <c r="E28" s="22" t="s">
        <v>72</v>
      </c>
      <c r="F28" s="23">
        <v>21.72</v>
      </c>
      <c r="G28" s="23">
        <v>14.77</v>
      </c>
      <c r="H28" s="27">
        <f t="shared" si="0"/>
        <v>6.9499999999999993</v>
      </c>
      <c r="J28" t="s">
        <v>81</v>
      </c>
      <c r="K28" s="6">
        <v>3</v>
      </c>
      <c r="O28"/>
      <c r="P28"/>
      <c r="Q28"/>
    </row>
    <row r="29" spans="2:19" x14ac:dyDescent="0.2">
      <c r="E29"/>
      <c r="F29"/>
      <c r="J29" t="s">
        <v>97</v>
      </c>
      <c r="K29" s="6">
        <f>K24-L24</f>
        <v>6.674000000000003</v>
      </c>
      <c r="O29"/>
      <c r="P29"/>
      <c r="Q29"/>
    </row>
    <row r="30" spans="2:19" x14ac:dyDescent="0.2">
      <c r="E30"/>
      <c r="F30"/>
      <c r="J30" t="s">
        <v>82</v>
      </c>
      <c r="K30">
        <v>24</v>
      </c>
      <c r="O30"/>
      <c r="P30"/>
      <c r="Q30"/>
    </row>
    <row r="31" spans="2:19" x14ac:dyDescent="0.2">
      <c r="E31"/>
      <c r="F31"/>
      <c r="J31" t="s">
        <v>83</v>
      </c>
      <c r="K31">
        <v>1.9948177692991895</v>
      </c>
      <c r="O31"/>
      <c r="P31"/>
      <c r="Q31"/>
    </row>
    <row r="32" spans="2:19" x14ac:dyDescent="0.2">
      <c r="E32"/>
      <c r="F32"/>
      <c r="J32" t="s">
        <v>84</v>
      </c>
      <c r="K32" s="6">
        <v>2.876920595495986E-2</v>
      </c>
      <c r="O32"/>
      <c r="P32"/>
      <c r="Q32"/>
    </row>
    <row r="33" spans="1:23" x14ac:dyDescent="0.2">
      <c r="E33"/>
      <c r="F33"/>
      <c r="J33" t="s">
        <v>85</v>
      </c>
      <c r="K33">
        <v>1.7108820799094284</v>
      </c>
      <c r="M33" s="4"/>
      <c r="N33" s="4"/>
      <c r="O33"/>
      <c r="R33" s="2"/>
    </row>
    <row r="34" spans="1:23" x14ac:dyDescent="0.2">
      <c r="E34"/>
      <c r="F34"/>
      <c r="J34" t="s">
        <v>86</v>
      </c>
      <c r="K34">
        <v>5.7538411909919721E-2</v>
      </c>
      <c r="O34" s="4"/>
      <c r="R34" s="2"/>
      <c r="S34" s="4"/>
    </row>
    <row r="35" spans="1:23" ht="13.5" thickBot="1" x14ac:dyDescent="0.25">
      <c r="E35"/>
      <c r="F35"/>
      <c r="J35" s="5" t="s">
        <v>87</v>
      </c>
      <c r="K35" s="5">
        <v>2.0638985616280254</v>
      </c>
      <c r="L35" s="5"/>
      <c r="O35"/>
      <c r="R35" s="2"/>
    </row>
    <row r="36" spans="1:23" x14ac:dyDescent="0.2">
      <c r="E36"/>
      <c r="F36"/>
      <c r="O36"/>
      <c r="R36" s="2"/>
      <c r="S36" s="2"/>
    </row>
    <row r="37" spans="1:23" x14ac:dyDescent="0.2">
      <c r="E37"/>
      <c r="F37"/>
    </row>
    <row r="38" spans="1:23" x14ac:dyDescent="0.2">
      <c r="E38"/>
      <c r="F38"/>
    </row>
    <row r="39" spans="1:23" x14ac:dyDescent="0.2">
      <c r="E39"/>
      <c r="F39"/>
    </row>
    <row r="40" spans="1:23" x14ac:dyDescent="0.2">
      <c r="E40"/>
      <c r="F40"/>
      <c r="M40" s="2"/>
      <c r="N40" s="2"/>
      <c r="U40" s="2"/>
      <c r="V40" s="2"/>
      <c r="W40" s="2"/>
    </row>
    <row r="41" spans="1:23" s="2" customFormat="1" x14ac:dyDescent="0.2">
      <c r="A41"/>
      <c r="B41"/>
      <c r="C41"/>
      <c r="D41"/>
      <c r="E41"/>
      <c r="F41"/>
      <c r="G41"/>
      <c r="H41"/>
    </row>
    <row r="42" spans="1:23" s="2" customFormat="1" x14ac:dyDescent="0.2">
      <c r="A42"/>
      <c r="B42"/>
      <c r="C42"/>
      <c r="D42"/>
      <c r="E42"/>
      <c r="F42"/>
      <c r="G42"/>
      <c r="H42"/>
    </row>
    <row r="43" spans="1:23" s="2" customFormat="1" x14ac:dyDescent="0.2">
      <c r="A43"/>
      <c r="B43"/>
      <c r="C43"/>
      <c r="D43"/>
      <c r="E43"/>
      <c r="F43"/>
      <c r="G43"/>
      <c r="H43"/>
    </row>
    <row r="44" spans="1:23" s="2" customFormat="1" x14ac:dyDescent="0.2">
      <c r="A44"/>
      <c r="B44"/>
      <c r="C44"/>
      <c r="D44"/>
      <c r="E44"/>
      <c r="F44"/>
      <c r="G44"/>
      <c r="H44"/>
    </row>
    <row r="45" spans="1:23" s="2" customFormat="1" x14ac:dyDescent="0.2">
      <c r="A45"/>
      <c r="B45"/>
      <c r="C45"/>
      <c r="D45"/>
      <c r="E45"/>
      <c r="F45"/>
      <c r="G45"/>
      <c r="H45"/>
    </row>
    <row r="46" spans="1:23" s="2" customFormat="1" x14ac:dyDescent="0.2">
      <c r="A46"/>
      <c r="B46"/>
      <c r="C46"/>
      <c r="D46"/>
      <c r="E46"/>
      <c r="F46"/>
      <c r="G46"/>
      <c r="H46"/>
    </row>
    <row r="47" spans="1:23" s="2" customFormat="1" x14ac:dyDescent="0.2">
      <c r="A47"/>
      <c r="B47"/>
      <c r="C47"/>
      <c r="D47"/>
      <c r="E47"/>
      <c r="F47"/>
      <c r="G47"/>
      <c r="H47"/>
    </row>
    <row r="48" spans="1:23" s="2" customFormat="1" x14ac:dyDescent="0.2">
      <c r="A48"/>
      <c r="B48"/>
      <c r="C48"/>
      <c r="D48"/>
      <c r="E48"/>
      <c r="F48"/>
      <c r="G48"/>
      <c r="H48"/>
    </row>
    <row r="49" spans="1:23" s="2" customFormat="1" x14ac:dyDescent="0.2">
      <c r="A49"/>
      <c r="B49"/>
      <c r="C49"/>
      <c r="D49"/>
      <c r="E49"/>
      <c r="F49"/>
      <c r="G49"/>
      <c r="H49"/>
    </row>
    <row r="50" spans="1:23" s="2" customFormat="1" x14ac:dyDescent="0.2">
      <c r="A50"/>
      <c r="B50"/>
      <c r="C50"/>
      <c r="D50"/>
      <c r="E50"/>
      <c r="F50"/>
      <c r="G50"/>
      <c r="H50"/>
      <c r="M50"/>
      <c r="N50"/>
    </row>
    <row r="51" spans="1:23" s="2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R51"/>
      <c r="S51"/>
    </row>
    <row r="52" spans="1:23" s="2" customFormat="1" x14ac:dyDescent="0.2">
      <c r="A52"/>
      <c r="B52"/>
      <c r="C52"/>
      <c r="D52"/>
      <c r="E52"/>
      <c r="F52"/>
      <c r="G52"/>
      <c r="H52"/>
      <c r="I52"/>
      <c r="K52"/>
      <c r="L52"/>
      <c r="M52"/>
      <c r="N52"/>
      <c r="R52"/>
      <c r="S52"/>
    </row>
    <row r="53" spans="1:23" s="2" customFormat="1" x14ac:dyDescent="0.2">
      <c r="A53"/>
      <c r="B53"/>
      <c r="C53"/>
      <c r="D53"/>
      <c r="E53"/>
      <c r="F53"/>
      <c r="G53"/>
      <c r="H53"/>
      <c r="I53"/>
      <c r="K53"/>
      <c r="L53"/>
      <c r="M53"/>
      <c r="N53"/>
      <c r="R53"/>
      <c r="S53"/>
    </row>
    <row r="54" spans="1:23" s="2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R54"/>
      <c r="S54"/>
    </row>
    <row r="55" spans="1:23" s="2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R55"/>
      <c r="S55"/>
    </row>
    <row r="56" spans="1:23" s="2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R56"/>
      <c r="S56"/>
    </row>
    <row r="57" spans="1:23" s="2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R57"/>
      <c r="S57"/>
    </row>
    <row r="58" spans="1:23" s="2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R58"/>
      <c r="S58"/>
    </row>
    <row r="59" spans="1:23" s="2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R59"/>
      <c r="S59"/>
    </row>
    <row r="60" spans="1:23" s="2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R60"/>
      <c r="S60"/>
    </row>
    <row r="61" spans="1:23" s="2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R61"/>
      <c r="S61"/>
    </row>
    <row r="62" spans="1:23" s="2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R62"/>
      <c r="S62"/>
    </row>
    <row r="63" spans="1:23" s="2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R63"/>
      <c r="S63"/>
      <c r="U63"/>
      <c r="V63"/>
      <c r="W63"/>
    </row>
    <row r="64" spans="1:23" x14ac:dyDescent="0.2">
      <c r="E64"/>
      <c r="F64"/>
      <c r="U64" s="2"/>
      <c r="V64" s="2"/>
      <c r="W64" s="2"/>
    </row>
    <row r="65" spans="1:23" s="2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R65"/>
      <c r="S65"/>
    </row>
    <row r="66" spans="1:23" s="2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R66"/>
      <c r="S66"/>
    </row>
    <row r="67" spans="1:23" s="2" customFormat="1" x14ac:dyDescent="0.2">
      <c r="A67"/>
      <c r="B67"/>
      <c r="C67"/>
      <c r="D67"/>
      <c r="E67"/>
      <c r="G67"/>
      <c r="H67"/>
      <c r="I67"/>
      <c r="J67"/>
      <c r="K67"/>
      <c r="L67"/>
      <c r="M67"/>
      <c r="N67"/>
      <c r="R67"/>
      <c r="S67"/>
    </row>
    <row r="68" spans="1:23" s="2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R68"/>
      <c r="S68"/>
    </row>
    <row r="69" spans="1:23" s="2" customFormat="1" x14ac:dyDescent="0.2">
      <c r="A69"/>
      <c r="B69"/>
      <c r="C69"/>
      <c r="D69"/>
      <c r="E69"/>
      <c r="G69"/>
      <c r="H69"/>
      <c r="I69"/>
      <c r="J69"/>
      <c r="K69"/>
      <c r="L69"/>
      <c r="M69"/>
      <c r="N69"/>
      <c r="R69"/>
      <c r="S69"/>
    </row>
    <row r="70" spans="1:23" s="2" customFormat="1" x14ac:dyDescent="0.2">
      <c r="A70"/>
      <c r="B70"/>
      <c r="C70"/>
      <c r="D70"/>
      <c r="E70"/>
      <c r="G70"/>
      <c r="H70"/>
      <c r="I70"/>
      <c r="J70"/>
      <c r="K70"/>
      <c r="L70"/>
      <c r="M70"/>
      <c r="N70"/>
      <c r="R70"/>
      <c r="S70"/>
    </row>
    <row r="71" spans="1:23" s="2" customFormat="1" x14ac:dyDescent="0.2">
      <c r="A71"/>
      <c r="B71"/>
      <c r="C71"/>
      <c r="D71"/>
      <c r="E71"/>
      <c r="G71"/>
      <c r="H71"/>
      <c r="I71"/>
      <c r="J71"/>
      <c r="K71"/>
      <c r="L71"/>
      <c r="M71"/>
      <c r="N71"/>
      <c r="R71"/>
      <c r="S71"/>
      <c r="U71"/>
      <c r="V71"/>
      <c r="W71"/>
    </row>
    <row r="72" spans="1:23" x14ac:dyDescent="0.2">
      <c r="E72"/>
    </row>
    <row r="73" spans="1:23" x14ac:dyDescent="0.2">
      <c r="E73"/>
    </row>
    <row r="74" spans="1:23" x14ac:dyDescent="0.2">
      <c r="E74"/>
    </row>
    <row r="75" spans="1:23" x14ac:dyDescent="0.2">
      <c r="E75"/>
    </row>
    <row r="76" spans="1:23" x14ac:dyDescent="0.2">
      <c r="E76"/>
    </row>
    <row r="82" spans="1:23" x14ac:dyDescent="0.2">
      <c r="U82" s="2"/>
      <c r="V82" s="2"/>
      <c r="W82" s="2"/>
    </row>
    <row r="83" spans="1:23" s="2" customFormat="1" x14ac:dyDescent="0.2">
      <c r="A83"/>
      <c r="B83"/>
      <c r="C83"/>
      <c r="D83"/>
      <c r="G83"/>
      <c r="H83"/>
      <c r="I83"/>
      <c r="J83"/>
      <c r="K83"/>
      <c r="L83"/>
      <c r="M83"/>
      <c r="N83"/>
      <c r="R83"/>
      <c r="S83"/>
      <c r="U83"/>
      <c r="V83"/>
      <c r="W83"/>
    </row>
  </sheetData>
  <sortState xmlns:xlrd2="http://schemas.microsoft.com/office/spreadsheetml/2017/richdata2" ref="C4:G28">
    <sortCondition ref="C4:C28"/>
  </sortState>
  <mergeCells count="2">
    <mergeCell ref="K2:L2"/>
    <mergeCell ref="M2:N2"/>
  </mergeCells>
  <conditionalFormatting sqref="F4:F28">
    <cfRule type="cellIs" dxfId="0" priority="1" operator="greaterThan">
      <formula>150</formula>
    </cfRule>
  </conditionalFormatting>
  <pageMargins left="0.75" right="0.75" top="1" bottom="1" header="0.5" footer="0.5"/>
  <pageSetup scale="71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3339-E580-4F9C-A2F3-DBC170463958}">
  <dimension ref="A1"/>
  <sheetViews>
    <sheetView workbookViewId="0">
      <selection activeCell="C40" sqref="C4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Earnings Ratios for 25 Companies</dc:title>
  <dc:subject>Chapter 10 - Examples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2022-08-17T16:42:11Z</cp:lastPrinted>
  <dcterms:created xsi:type="dcterms:W3CDTF">2022-08-16T23:03:29Z</dcterms:created>
  <dcterms:modified xsi:type="dcterms:W3CDTF">2022-12-24T19:19:20Z</dcterms:modified>
</cp:coreProperties>
</file>