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ASBE 8e Revisions\Chapter 04\Data-Examples\"/>
    </mc:Choice>
  </mc:AlternateContent>
  <xr:revisionPtr revIDLastSave="0" documentId="13_ncr:1_{A6C887F2-6E47-459A-8865-3E5CC51816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  <sheet name="Extra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4" i="1"/>
  <c r="G9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<sst xmlns="http://schemas.openxmlformats.org/spreadsheetml/2006/main" count="44" uniqueCount="44">
  <si>
    <t>Brand</t>
  </si>
  <si>
    <t>Defects</t>
  </si>
  <si>
    <t>Lexus</t>
  </si>
  <si>
    <t>Cadillac</t>
  </si>
  <si>
    <t>Ford</t>
  </si>
  <si>
    <t>Buick</t>
  </si>
  <si>
    <t>Land Rover</t>
  </si>
  <si>
    <t>Acura</t>
  </si>
  <si>
    <t>Volkswagen</t>
  </si>
  <si>
    <t>Lincoln</t>
  </si>
  <si>
    <t>Audi</t>
  </si>
  <si>
    <t>Mazda</t>
  </si>
  <si>
    <t>BMW</t>
  </si>
  <si>
    <t>Mercedes-Benz</t>
  </si>
  <si>
    <t>Chevrolet</t>
  </si>
  <si>
    <t>Mitsubishi</t>
  </si>
  <si>
    <t>Nissan</t>
  </si>
  <si>
    <t>Dodge</t>
  </si>
  <si>
    <t>GMC</t>
  </si>
  <si>
    <t>Porsche</t>
  </si>
  <si>
    <t>Honda</t>
  </si>
  <si>
    <t>Infiniti</t>
  </si>
  <si>
    <t>Jaguar</t>
  </si>
  <si>
    <t>Jeep</t>
  </si>
  <si>
    <t>Toyota</t>
  </si>
  <si>
    <t>Volvo</t>
  </si>
  <si>
    <t>MINI</t>
  </si>
  <si>
    <t>Hyundai</t>
  </si>
  <si>
    <t>Ram</t>
  </si>
  <si>
    <t>Mean</t>
  </si>
  <si>
    <t>SD</t>
  </si>
  <si>
    <t>n</t>
  </si>
  <si>
    <t>Q1</t>
  </si>
  <si>
    <t>Q2</t>
  </si>
  <si>
    <t>Q3</t>
  </si>
  <si>
    <t>Genesis</t>
  </si>
  <si>
    <t>KIA</t>
  </si>
  <si>
    <t>Subaru</t>
  </si>
  <si>
    <t xml:space="preserve">Alfa Romeo </t>
  </si>
  <si>
    <t>Maserati</t>
  </si>
  <si>
    <t xml:space="preserve">Chrysler </t>
  </si>
  <si>
    <t>Defects per 100 Vehicles, 2022 Model Year (n = 33 vehicles)</t>
  </si>
  <si>
    <t>z-score</t>
  </si>
  <si>
    <t>Summary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</si>
</sst>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"/>
  </numFmts>
  <fonts count="6" x14ac:knownFonts="1">
    <font>
      <sz val="10"/>
      <name val="Arial"/>
    </font>
    <font>
      <b/>
      <i/>
      <sz val="12"/>
      <color indexed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i/>
      <sz val="12"/>
      <color rgb="FF003399"/>
      <name val="Arial"/>
      <family val="2"/>
    </font>
    <font>
      <b/>
      <i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4" fillId="0" borderId="0" xfId="0" applyFont="1"/>
    <xf numFmtId="0" fontId="0" fillId="0" borderId="1" xfId="0" applyFill="1" applyBorder="1"/>
    <xf numFmtId="0" fontId="0" fillId="0" borderId="3" xfId="0" applyFill="1" applyBorder="1"/>
    <xf numFmtId="0" fontId="0" fillId="0" borderId="5" xfId="0" applyFill="1" applyBorder="1"/>
    <xf numFmtId="0" fontId="0" fillId="0" borderId="0" xfId="0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0" fillId="0" borderId="1" xfId="0" applyBorder="1"/>
    <xf numFmtId="166" fontId="0" fillId="0" borderId="2" xfId="0" applyNumberFormat="1" applyBorder="1"/>
    <xf numFmtId="0" fontId="0" fillId="0" borderId="3" xfId="0" applyBorder="1"/>
    <xf numFmtId="166" fontId="0" fillId="0" borderId="4" xfId="0" applyNumberForma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5" fillId="2" borderId="9" xfId="0" applyFont="1" applyFill="1" applyBorder="1"/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828675</xdr:colOff>
      <xdr:row>10</xdr:row>
      <xdr:rowOff>76200</xdr:rowOff>
    </xdr:from>
    <xdr:to>
      <xdr:col>8</xdr:col>
      <xdr:colOff>781049</xdr:colOff>
      <xdr:row>17</xdr:row>
      <xdr:rowOff>95251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169C8C6D-1237-4074-99FA-90B292E74DF0}"/>
            </a:ext>
          </a:extLst>
        </xdr:cNvPr>
        <xdr:cNvSpPr/>
      </xdr:nvSpPr>
      <xdr:spPr>
        <a:xfrm>
          <a:off x="3714750" y="1752600"/>
          <a:ext cx="2876549" cy="1152526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Source:</a:t>
          </a:r>
          <a:r>
            <a:rPr lang="en-US" sz="1100" b="0" i="0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J.D. Power and Associates 2022 Initial Quality StudyTM. Ratings are intended for educational purposes only, and should not be used as a guide to consumer decisions.  Data are used with permission.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5</xdr:col>
      <xdr:colOff>0</xdr:colOff>
      <xdr:row>18</xdr:row>
      <xdr:rowOff>76200</xdr:rowOff>
    </xdr:from>
    <xdr:to>
      <xdr:col>8</xdr:col>
      <xdr:colOff>18789</xdr:colOff>
      <xdr:row>28</xdr:row>
      <xdr:rowOff>37902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DAA073-7C72-4F6B-97AB-41EBC0BEC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43325" y="304800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G41"/>
  <sheetViews>
    <sheetView showGridLines="0" tabSelected="1" workbookViewId="0"/>
  </sheetViews>
  <sheetFormatPr defaultRowHeight="12.75" x14ac:dyDescent="0.2"/>
  <cols>
    <col min="1" max="1" width="4.42578125" customWidth="1"/>
    <col min="2" max="2" width="13.7109375" customWidth="1"/>
    <col min="3" max="3" width="11.7109375" style="11" customWidth="1"/>
    <col min="4" max="4" width="13.42578125" style="11" customWidth="1"/>
    <col min="5" max="5" width="12.85546875" customWidth="1"/>
    <col min="6" max="6" width="11.5703125" customWidth="1"/>
    <col min="7" max="7" width="9.5703125" bestFit="1" customWidth="1"/>
    <col min="8" max="8" width="9.85546875" customWidth="1"/>
    <col min="9" max="9" width="14.7109375" customWidth="1"/>
    <col min="13" max="13" width="7" bestFit="1" customWidth="1"/>
  </cols>
  <sheetData>
    <row r="1" spans="2:7" ht="15" x14ac:dyDescent="0.2">
      <c r="B1" s="7" t="s">
        <v>41</v>
      </c>
    </row>
    <row r="2" spans="2:7" ht="15" x14ac:dyDescent="0.2">
      <c r="B2" s="1"/>
    </row>
    <row r="3" spans="2:7" x14ac:dyDescent="0.2">
      <c r="B3" s="26" t="s">
        <v>0</v>
      </c>
      <c r="C3" s="27" t="s">
        <v>1</v>
      </c>
      <c r="D3" s="28" t="s">
        <v>42</v>
      </c>
      <c r="F3" s="13" t="s">
        <v>43</v>
      </c>
      <c r="G3" s="12"/>
    </row>
    <row r="4" spans="2:7" x14ac:dyDescent="0.2">
      <c r="B4" s="8" t="s">
        <v>7</v>
      </c>
      <c r="C4" s="21">
        <v>192</v>
      </c>
      <c r="D4" s="22">
        <f>ROUND((C4-$G$4)/$G$5,3)</f>
        <v>0.10299999999999999</v>
      </c>
      <c r="F4" s="14" t="s">
        <v>29</v>
      </c>
      <c r="G4" s="15">
        <f>AVERAGE(C$4:C$36)</f>
        <v>188.57575757575756</v>
      </c>
    </row>
    <row r="5" spans="2:7" x14ac:dyDescent="0.2">
      <c r="B5" s="9" t="s">
        <v>38</v>
      </c>
      <c r="C5" s="6">
        <v>211</v>
      </c>
      <c r="D5" s="23">
        <f t="shared" ref="D5:D36" si="0">ROUND((C5-$G$4)/$G$5,3)</f>
        <v>0.67400000000000004</v>
      </c>
      <c r="F5" s="16" t="s">
        <v>30</v>
      </c>
      <c r="G5" s="17">
        <f>_xlfn.STDEV.S(C$4:C$36)</f>
        <v>33.284784721241508</v>
      </c>
    </row>
    <row r="6" spans="2:7" x14ac:dyDescent="0.2">
      <c r="B6" s="9" t="s">
        <v>10</v>
      </c>
      <c r="C6" s="6">
        <v>239</v>
      </c>
      <c r="D6" s="23">
        <f t="shared" si="0"/>
        <v>1.5149999999999999</v>
      </c>
      <c r="F6" s="16" t="s">
        <v>31</v>
      </c>
      <c r="G6" s="18">
        <f>COUNT(C$4:C$36)</f>
        <v>33</v>
      </c>
    </row>
    <row r="7" spans="2:7" x14ac:dyDescent="0.2">
      <c r="B7" s="9" t="s">
        <v>12</v>
      </c>
      <c r="C7" s="6">
        <v>165</v>
      </c>
      <c r="D7" s="23">
        <f t="shared" si="0"/>
        <v>-0.70799999999999996</v>
      </c>
      <c r="F7" s="16" t="s">
        <v>32</v>
      </c>
      <c r="G7" s="18">
        <f>QUARTILE(C$4:C$36,1)</f>
        <v>165</v>
      </c>
    </row>
    <row r="8" spans="2:7" x14ac:dyDescent="0.2">
      <c r="B8" s="9" t="s">
        <v>5</v>
      </c>
      <c r="C8" s="6">
        <v>139</v>
      </c>
      <c r="D8" s="23">
        <f t="shared" si="0"/>
        <v>-1.4890000000000001</v>
      </c>
      <c r="F8" s="16" t="s">
        <v>33</v>
      </c>
      <c r="G8" s="18">
        <f>QUARTILE(C$4:C$36,2)</f>
        <v>185</v>
      </c>
    </row>
    <row r="9" spans="2:7" x14ac:dyDescent="0.2">
      <c r="B9" s="9" t="s">
        <v>3</v>
      </c>
      <c r="C9" s="6">
        <v>163</v>
      </c>
      <c r="D9" s="23">
        <f t="shared" si="0"/>
        <v>-0.76800000000000002</v>
      </c>
      <c r="F9" s="19" t="s">
        <v>34</v>
      </c>
      <c r="G9" s="20">
        <f>QUARTILE(C$4:C$36,3)</f>
        <v>204</v>
      </c>
    </row>
    <row r="10" spans="2:7" x14ac:dyDescent="0.2">
      <c r="B10" s="9" t="s">
        <v>14</v>
      </c>
      <c r="C10" s="6">
        <v>147</v>
      </c>
      <c r="D10" s="23">
        <f t="shared" si="0"/>
        <v>-1.2490000000000001</v>
      </c>
    </row>
    <row r="11" spans="2:7" x14ac:dyDescent="0.2">
      <c r="B11" s="9" t="s">
        <v>40</v>
      </c>
      <c r="C11" s="6">
        <v>265</v>
      </c>
      <c r="D11" s="23">
        <f t="shared" si="0"/>
        <v>2.2959999999999998</v>
      </c>
    </row>
    <row r="12" spans="2:7" x14ac:dyDescent="0.2">
      <c r="B12" s="9" t="s">
        <v>17</v>
      </c>
      <c r="C12" s="6">
        <v>143</v>
      </c>
      <c r="D12" s="23">
        <f t="shared" si="0"/>
        <v>-1.369</v>
      </c>
    </row>
    <row r="13" spans="2:7" x14ac:dyDescent="0.2">
      <c r="B13" s="9" t="s">
        <v>4</v>
      </c>
      <c r="C13" s="6">
        <v>167</v>
      </c>
      <c r="D13" s="23">
        <f t="shared" si="0"/>
        <v>-0.64800000000000002</v>
      </c>
    </row>
    <row r="14" spans="2:7" x14ac:dyDescent="0.2">
      <c r="B14" s="9" t="s">
        <v>35</v>
      </c>
      <c r="C14" s="6">
        <v>156</v>
      </c>
      <c r="D14" s="23">
        <f t="shared" si="0"/>
        <v>-0.97899999999999998</v>
      </c>
    </row>
    <row r="15" spans="2:7" x14ac:dyDescent="0.2">
      <c r="B15" s="9" t="s">
        <v>18</v>
      </c>
      <c r="C15" s="6">
        <v>162</v>
      </c>
      <c r="D15" s="23">
        <f t="shared" si="0"/>
        <v>-0.79800000000000004</v>
      </c>
    </row>
    <row r="16" spans="2:7" x14ac:dyDescent="0.2">
      <c r="B16" s="9" t="s">
        <v>20</v>
      </c>
      <c r="C16" s="6">
        <v>183</v>
      </c>
      <c r="D16" s="23">
        <f t="shared" si="0"/>
        <v>-0.16800000000000001</v>
      </c>
      <c r="E16" s="4"/>
      <c r="F16" s="5"/>
      <c r="G16" s="4"/>
    </row>
    <row r="17" spans="2:7" x14ac:dyDescent="0.2">
      <c r="B17" s="9" t="s">
        <v>27</v>
      </c>
      <c r="C17" s="6">
        <v>185</v>
      </c>
      <c r="D17" s="23">
        <f t="shared" si="0"/>
        <v>-0.107</v>
      </c>
      <c r="E17" s="4"/>
      <c r="F17" s="5"/>
      <c r="G17" s="4"/>
    </row>
    <row r="18" spans="2:7" x14ac:dyDescent="0.2">
      <c r="B18" s="9" t="s">
        <v>21</v>
      </c>
      <c r="C18" s="6">
        <v>204</v>
      </c>
      <c r="D18" s="23">
        <f t="shared" si="0"/>
        <v>0.46300000000000002</v>
      </c>
    </row>
    <row r="19" spans="2:7" x14ac:dyDescent="0.2">
      <c r="B19" s="9" t="s">
        <v>22</v>
      </c>
      <c r="C19" s="6">
        <v>210</v>
      </c>
      <c r="D19" s="23">
        <f t="shared" si="0"/>
        <v>0.64400000000000002</v>
      </c>
    </row>
    <row r="20" spans="2:7" x14ac:dyDescent="0.2">
      <c r="B20" s="9" t="s">
        <v>23</v>
      </c>
      <c r="C20" s="6">
        <v>199</v>
      </c>
      <c r="D20" s="23">
        <f t="shared" si="0"/>
        <v>0.313</v>
      </c>
    </row>
    <row r="21" spans="2:7" x14ac:dyDescent="0.2">
      <c r="B21" s="9" t="s">
        <v>36</v>
      </c>
      <c r="C21" s="6">
        <v>156</v>
      </c>
      <c r="D21" s="23">
        <f t="shared" si="0"/>
        <v>-0.97899999999999998</v>
      </c>
    </row>
    <row r="22" spans="2:7" x14ac:dyDescent="0.2">
      <c r="B22" s="9" t="s">
        <v>6</v>
      </c>
      <c r="C22" s="6">
        <v>193</v>
      </c>
      <c r="D22" s="23">
        <f t="shared" si="0"/>
        <v>0.13300000000000001</v>
      </c>
    </row>
    <row r="23" spans="2:7" x14ac:dyDescent="0.2">
      <c r="B23" s="9" t="s">
        <v>2</v>
      </c>
      <c r="C23" s="6">
        <v>157</v>
      </c>
      <c r="D23" s="23">
        <f t="shared" si="0"/>
        <v>-0.94899999999999995</v>
      </c>
    </row>
    <row r="24" spans="2:7" x14ac:dyDescent="0.2">
      <c r="B24" s="9" t="s">
        <v>9</v>
      </c>
      <c r="C24" s="6">
        <v>167</v>
      </c>
      <c r="D24" s="23">
        <f t="shared" si="0"/>
        <v>-0.64800000000000002</v>
      </c>
      <c r="F24" s="2"/>
      <c r="G24" s="2"/>
    </row>
    <row r="25" spans="2:7" x14ac:dyDescent="0.2">
      <c r="B25" s="9" t="s">
        <v>39</v>
      </c>
      <c r="C25" s="6">
        <v>255</v>
      </c>
      <c r="D25" s="23">
        <f t="shared" si="0"/>
        <v>1.996</v>
      </c>
      <c r="E25" s="3"/>
      <c r="F25" s="2"/>
      <c r="G25" s="2"/>
    </row>
    <row r="26" spans="2:7" x14ac:dyDescent="0.2">
      <c r="B26" s="9" t="s">
        <v>11</v>
      </c>
      <c r="C26" s="6">
        <v>180</v>
      </c>
      <c r="D26" s="23">
        <f t="shared" si="0"/>
        <v>-0.25800000000000001</v>
      </c>
    </row>
    <row r="27" spans="2:7" x14ac:dyDescent="0.2">
      <c r="B27" s="9" t="s">
        <v>13</v>
      </c>
      <c r="C27" s="6">
        <v>189</v>
      </c>
      <c r="D27" s="23">
        <f t="shared" si="0"/>
        <v>1.2999999999999999E-2</v>
      </c>
    </row>
    <row r="28" spans="2:7" x14ac:dyDescent="0.2">
      <c r="B28" s="9" t="s">
        <v>26</v>
      </c>
      <c r="C28" s="6">
        <v>168</v>
      </c>
      <c r="D28" s="23">
        <f t="shared" si="0"/>
        <v>-0.61799999999999999</v>
      </c>
    </row>
    <row r="29" spans="2:7" x14ac:dyDescent="0.2">
      <c r="B29" s="9" t="s">
        <v>15</v>
      </c>
      <c r="C29" s="6">
        <v>226</v>
      </c>
      <c r="D29" s="23">
        <f t="shared" si="0"/>
        <v>1.1240000000000001</v>
      </c>
    </row>
    <row r="30" spans="2:7" x14ac:dyDescent="0.2">
      <c r="B30" s="9" t="s">
        <v>16</v>
      </c>
      <c r="C30" s="6">
        <v>167</v>
      </c>
      <c r="D30" s="23">
        <f t="shared" si="0"/>
        <v>-0.64800000000000002</v>
      </c>
    </row>
    <row r="31" spans="2:7" x14ac:dyDescent="0.2">
      <c r="B31" s="9" t="s">
        <v>19</v>
      </c>
      <c r="C31" s="6">
        <v>200</v>
      </c>
      <c r="D31" s="23">
        <f t="shared" si="0"/>
        <v>0.34300000000000003</v>
      </c>
    </row>
    <row r="32" spans="2:7" x14ac:dyDescent="0.2">
      <c r="B32" s="9" t="s">
        <v>28</v>
      </c>
      <c r="C32" s="6">
        <v>186</v>
      </c>
      <c r="D32" s="23">
        <f t="shared" si="0"/>
        <v>-7.6999999999999999E-2</v>
      </c>
    </row>
    <row r="33" spans="2:4" x14ac:dyDescent="0.2">
      <c r="B33" s="9" t="s">
        <v>37</v>
      </c>
      <c r="C33" s="6">
        <v>191</v>
      </c>
      <c r="D33" s="23">
        <f t="shared" si="0"/>
        <v>7.2999999999999995E-2</v>
      </c>
    </row>
    <row r="34" spans="2:4" x14ac:dyDescent="0.2">
      <c r="B34" s="9" t="s">
        <v>24</v>
      </c>
      <c r="C34" s="6">
        <v>172</v>
      </c>
      <c r="D34" s="23">
        <f t="shared" si="0"/>
        <v>-0.498</v>
      </c>
    </row>
    <row r="35" spans="2:4" x14ac:dyDescent="0.2">
      <c r="B35" s="9" t="s">
        <v>8</v>
      </c>
      <c r="C35" s="6">
        <v>230</v>
      </c>
      <c r="D35" s="23">
        <f t="shared" si="0"/>
        <v>1.2450000000000001</v>
      </c>
    </row>
    <row r="36" spans="2:4" x14ac:dyDescent="0.2">
      <c r="B36" s="10" t="s">
        <v>25</v>
      </c>
      <c r="C36" s="24">
        <v>256</v>
      </c>
      <c r="D36" s="25">
        <f t="shared" si="0"/>
        <v>2.0259999999999998</v>
      </c>
    </row>
    <row r="37" spans="2:4" x14ac:dyDescent="0.2">
      <c r="B37" s="4"/>
      <c r="C37" s="5"/>
    </row>
    <row r="38" spans="2:4" x14ac:dyDescent="0.2">
      <c r="B38" s="4"/>
      <c r="C38" s="5"/>
    </row>
    <row r="39" spans="2:4" x14ac:dyDescent="0.2">
      <c r="B39" s="4"/>
      <c r="C39" s="5"/>
    </row>
    <row r="40" spans="2:4" x14ac:dyDescent="0.2">
      <c r="B40" s="4"/>
      <c r="C40" s="5"/>
    </row>
    <row r="41" spans="2:4" x14ac:dyDescent="0.2">
      <c r="B41" s="4"/>
      <c r="C41" s="5"/>
    </row>
  </sheetData>
  <mergeCells count="1">
    <mergeCell ref="F3:G3"/>
  </mergeCells>
  <phoneticPr fontId="0" type="noConversion"/>
  <pageMargins left="0.75" right="0.75" top="1" bottom="1" header="0.5" footer="0.5"/>
  <pageSetup orientation="landscape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Defects per 100 Vehicles, 2010 Model Year</dc:title>
  <dc:subject>Chapter 4 - Examples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2020-03-09T21:22:50Z</cp:lastPrinted>
  <dcterms:created xsi:type="dcterms:W3CDTF">2004-07-23T18:05:43Z</dcterms:created>
  <dcterms:modified xsi:type="dcterms:W3CDTF">2022-08-10T22:21:47Z</dcterms:modified>
</cp:coreProperties>
</file>