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FD423AEC-AA30-4296-91AE-61F4FC15A693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JIA Components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5" i="1" l="1"/>
  <c r="F35" i="1" s="1"/>
  <c r="F4" i="1" l="1"/>
  <c r="F11" i="1"/>
  <c r="F22" i="1"/>
  <c r="F26" i="1" l="1"/>
  <c r="F8" i="1"/>
  <c r="F31" i="1"/>
  <c r="F27" i="1"/>
  <c r="F6" i="1"/>
  <c r="F18" i="1"/>
  <c r="F20" i="1"/>
  <c r="F10" i="1"/>
  <c r="F24" i="1"/>
  <c r="F32" i="1"/>
  <c r="F19" i="1"/>
  <c r="F12" i="1"/>
  <c r="F15" i="1"/>
  <c r="F23" i="1"/>
  <c r="F7" i="1"/>
  <c r="F16" i="1"/>
  <c r="F5" i="1"/>
  <c r="F13" i="1"/>
  <c r="F9" i="1"/>
  <c r="F28" i="1"/>
  <c r="F14" i="1"/>
  <c r="F21" i="1"/>
  <c r="F33" i="1"/>
  <c r="F30" i="1"/>
  <c r="F17" i="1"/>
  <c r="F25" i="1"/>
  <c r="F29" i="1"/>
</calcChain>
</file>

<file path=xl/sharedStrings.xml><?xml version="1.0" encoding="utf-8"?>
<sst xmlns="http://schemas.openxmlformats.org/spreadsheetml/2006/main" count="97" uniqueCount="89">
  <si>
    <t>MMM</t>
  </si>
  <si>
    <t>Alcoa Inc.</t>
  </si>
  <si>
    <t>AA</t>
  </si>
  <si>
    <t>Aluminum</t>
  </si>
  <si>
    <t>AXP</t>
  </si>
  <si>
    <t>T</t>
  </si>
  <si>
    <t>BA</t>
  </si>
  <si>
    <t>Caterpillar Inc.</t>
  </si>
  <si>
    <t>CAT</t>
  </si>
  <si>
    <t>KO</t>
  </si>
  <si>
    <t>DD</t>
  </si>
  <si>
    <t>XOM</t>
  </si>
  <si>
    <t>GE</t>
  </si>
  <si>
    <t>HPQ</t>
  </si>
  <si>
    <t>HD</t>
  </si>
  <si>
    <t>INTC</t>
  </si>
  <si>
    <t>Semiconductors</t>
  </si>
  <si>
    <t>IBM</t>
  </si>
  <si>
    <t>Johnson &amp; Johnson</t>
  </si>
  <si>
    <t>JNJ</t>
  </si>
  <si>
    <t>Pharmaceuticals</t>
  </si>
  <si>
    <t>JPMorgan Chase &amp; Co.</t>
  </si>
  <si>
    <t>JPM</t>
  </si>
  <si>
    <t>McDonald's Corp.</t>
  </si>
  <si>
    <t>MCD</t>
  </si>
  <si>
    <t>Merck &amp; Co. Inc.</t>
  </si>
  <si>
    <t>MRK</t>
  </si>
  <si>
    <t>MSFT</t>
  </si>
  <si>
    <t>Software</t>
  </si>
  <si>
    <t>Pfizer Inc.</t>
  </si>
  <si>
    <t>PFE</t>
  </si>
  <si>
    <t>Procter &amp; Gamble Co.</t>
  </si>
  <si>
    <t>PG</t>
  </si>
  <si>
    <t>United Technologies Corp.</t>
  </si>
  <si>
    <t>UTX</t>
  </si>
  <si>
    <t>Verizon Communications Inc.</t>
  </si>
  <si>
    <t>VZ</t>
  </si>
  <si>
    <t>Wal-Mart Stores Inc.</t>
  </si>
  <si>
    <t>WMT</t>
  </si>
  <si>
    <t>DIS</t>
  </si>
  <si>
    <t>Weight</t>
  </si>
  <si>
    <t>Column Sum</t>
  </si>
  <si>
    <t>Ticker</t>
  </si>
  <si>
    <t>Company</t>
  </si>
  <si>
    <t>Business Classification</t>
  </si>
  <si>
    <t>Stock Price</t>
  </si>
  <si>
    <t>What Is the Dow Jones Industrial Average (DJIA)?</t>
  </si>
  <si>
    <t>Computers and technology</t>
  </si>
  <si>
    <t>CVX</t>
  </si>
  <si>
    <t>Chevron Corporation</t>
  </si>
  <si>
    <t>Oil &amp; gas</t>
  </si>
  <si>
    <t>3M Company</t>
  </si>
  <si>
    <t>Conglomerate</t>
  </si>
  <si>
    <t>The Boeing Company</t>
  </si>
  <si>
    <t>Aerospace and defense</t>
  </si>
  <si>
    <t>Fast food</t>
  </si>
  <si>
    <t>Exxon Mobil Corporation</t>
  </si>
  <si>
    <t>Construction and mining equipment</t>
  </si>
  <si>
    <t>TRV</t>
  </si>
  <si>
    <t>The Travelers Companies, Inc.</t>
  </si>
  <si>
    <t>Insurance</t>
  </si>
  <si>
    <t>Consumer goods</t>
  </si>
  <si>
    <t>The Home Depot, Inc.</t>
  </si>
  <si>
    <t>Home improvement retailer</t>
  </si>
  <si>
    <t>Retail</t>
  </si>
  <si>
    <t>American Express Company</t>
  </si>
  <si>
    <t>Consumer finance</t>
  </si>
  <si>
    <t>UNH</t>
  </si>
  <si>
    <t>UnitedHealth Group Incorporated</t>
  </si>
  <si>
    <t>Managed health care</t>
  </si>
  <si>
    <t>The Walt Disney Company</t>
  </si>
  <si>
    <t>Broadcasting and entertainment</t>
  </si>
  <si>
    <t>E. I. du Pont de Nemours and Company</t>
  </si>
  <si>
    <t>Chemical industry</t>
  </si>
  <si>
    <t>Banking</t>
  </si>
  <si>
    <t>Telecommunication</t>
  </si>
  <si>
    <t>The Coca-Cola Company</t>
  </si>
  <si>
    <t>Beverages</t>
  </si>
  <si>
    <t>AT&amp;T, Inc.</t>
  </si>
  <si>
    <t>Microsoft Corporation</t>
  </si>
  <si>
    <t>Hewlett-Packard Company</t>
  </si>
  <si>
    <t>CSCO</t>
  </si>
  <si>
    <t>Cisco Systems, Inc.</t>
  </si>
  <si>
    <t>Computer networking</t>
  </si>
  <si>
    <t>General Electric Company</t>
  </si>
  <si>
    <t>Intel Corporation</t>
  </si>
  <si>
    <t>BAC</t>
  </si>
  <si>
    <t>Bank of America Corporation</t>
  </si>
  <si>
    <t>International Business Machines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</si>
</sst>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i/>
      <sz val="12"/>
      <color rgb="FF003399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0" fontId="2" fillId="0" borderId="0" xfId="0" applyFont="1"/>
    <xf numFmtId="164" fontId="2" fillId="0" borderId="0" xfId="0" applyNumberFormat="1" applyFont="1"/>
    <xf numFmtId="164" fontId="2" fillId="2" borderId="6" xfId="0" applyNumberFormat="1" applyFont="1" applyFill="1" applyBorder="1"/>
    <xf numFmtId="164" fontId="2" fillId="2" borderId="8" xfId="0" applyNumberFormat="1" applyFont="1" applyFill="1" applyBorder="1"/>
    <xf numFmtId="164" fontId="2" fillId="2" borderId="11" xfId="0" applyNumberFormat="1" applyFont="1" applyFill="1" applyBorder="1"/>
    <xf numFmtId="0" fontId="5" fillId="2" borderId="4" xfId="1" applyFont="1" applyFill="1" applyBorder="1" applyAlignment="1">
      <alignment vertical="center" wrapText="1"/>
    </xf>
    <xf numFmtId="0" fontId="5" fillId="2" borderId="5" xfId="1" applyFont="1" applyFill="1" applyBorder="1"/>
    <xf numFmtId="2" fontId="5" fillId="2" borderId="5" xfId="1" applyNumberFormat="1" applyFont="1" applyFill="1" applyBorder="1" applyAlignment="1">
      <alignment horizontal="right" vertical="center" wrapText="1"/>
    </xf>
    <xf numFmtId="0" fontId="5" fillId="2" borderId="7" xfId="1" applyFont="1" applyFill="1" applyBorder="1" applyAlignment="1">
      <alignment vertical="center" wrapText="1"/>
    </xf>
    <xf numFmtId="0" fontId="5" fillId="2" borderId="0" xfId="1" applyFont="1" applyFill="1"/>
    <xf numFmtId="2" fontId="5" fillId="2" borderId="0" xfId="1" applyNumberFormat="1" applyFont="1" applyFill="1" applyAlignment="1">
      <alignment horizontal="right" vertical="center" wrapText="1"/>
    </xf>
    <xf numFmtId="0" fontId="5" fillId="2" borderId="9" xfId="1" applyFont="1" applyFill="1" applyBorder="1" applyAlignment="1">
      <alignment vertical="center" wrapText="1"/>
    </xf>
    <xf numFmtId="0" fontId="5" fillId="2" borderId="10" xfId="1" applyFont="1" applyFill="1" applyBorder="1"/>
    <xf numFmtId="2" fontId="5" fillId="2" borderId="10" xfId="1" applyNumberFormat="1" applyFont="1" applyFill="1" applyBorder="1" applyAlignment="1">
      <alignment horizontal="right" vertical="center" wrapText="1"/>
    </xf>
    <xf numFmtId="0" fontId="6" fillId="0" borderId="0" xfId="0" applyFont="1"/>
    <xf numFmtId="0" fontId="7" fillId="3" borderId="1" xfId="0" applyFont="1" applyFill="1" applyBorder="1"/>
    <xf numFmtId="0" fontId="7" fillId="3" borderId="2" xfId="0" applyFont="1" applyFill="1" applyBorder="1"/>
    <xf numFmtId="0" fontId="7" fillId="3" borderId="2" xfId="0" applyFont="1" applyFill="1" applyBorder="1" applyAlignment="1">
      <alignment horizontal="right"/>
    </xf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0" fontId="4" fillId="0" borderId="0" xfId="1" applyFont="1" applyAlignment="1">
      <alignment horizontal="right"/>
    </xf>
    <xf numFmtId="0" fontId="7" fillId="3" borderId="3" xfId="0" applyFont="1" applyFill="1" applyBorder="1" applyAlignment="1">
      <alignment horizontal="right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247649</xdr:colOff>
      <xdr:row>1</xdr:row>
      <xdr:rowOff>142874</xdr:rowOff>
    </xdr:from>
    <xdr:to>
      <xdr:col>11</xdr:col>
      <xdr:colOff>381000</xdr:colOff>
      <xdr:row>17</xdr:row>
      <xdr:rowOff>133349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8597BCAD-A6C6-4F52-A2E4-39F248252CBE}"/>
            </a:ext>
          </a:extLst>
        </xdr:cNvPr>
        <xdr:cNvSpPr/>
      </xdr:nvSpPr>
      <xdr:spPr>
        <a:xfrm>
          <a:off x="7334249" y="333374"/>
          <a:ext cx="3181351" cy="2581275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Note: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 The DJIA is not a simple average, but rather is the sum of 30 stock prices divided by a number called the "divisor".  The "divisor" is adjusted periodically to reflect stock splits and other structural changes. The numbers in this table are only to illustrate the calculation at a point in time. Each weight is simply the proportion of each stock's price in the sum of all the stock prices. Hence, a high-priced stock has a greater weight. The list is sorted by weight so you can see which socks have the greatest influence on the DJIA.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2">
                <a:lumMod val="50000"/>
              </a:schemeClr>
            </a:solidFill>
          </a:endParaRPr>
        </a:p>
      </xdr:txBody>
    </xdr:sp>
    <xdr:clientData/>
  </xdr:twoCellAnchor>
  <xdr:twoCellAnchor>
    <xdr:from>
      <xdr:col>6</xdr:col>
      <xdr:colOff>333374</xdr:colOff>
      <xdr:row>19</xdr:row>
      <xdr:rowOff>28575</xdr:rowOff>
    </xdr:from>
    <xdr:to>
      <xdr:col>11</xdr:col>
      <xdr:colOff>228599</xdr:colOff>
      <xdr:row>25</xdr:row>
      <xdr:rowOff>76200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0E0E8046-AEC0-4D12-85E8-06069E26F0EA}"/>
            </a:ext>
          </a:extLst>
        </xdr:cNvPr>
        <xdr:cNvSpPr/>
      </xdr:nvSpPr>
      <xdr:spPr>
        <a:xfrm>
          <a:off x="7419974" y="3133725"/>
          <a:ext cx="2943225" cy="1019175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Sources:</a:t>
          </a:r>
          <a:r>
            <a:rPr lang="en-US" sz="1100" b="0" i="0" baseline="0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Closing stock prices are from http://finance.yahoo.com/ accessed July 24, 2013. The divisor on that date is from http://intellivestsecurities.blogspot.com/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876300</xdr:colOff>
      <xdr:row>36</xdr:row>
      <xdr:rowOff>47625</xdr:rowOff>
    </xdr:from>
    <xdr:to>
      <xdr:col>5</xdr:col>
      <xdr:colOff>638175</xdr:colOff>
      <xdr:row>44</xdr:row>
      <xdr:rowOff>66675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CB1DC052-4D17-4D26-AEE0-7B53FDCAFC57}"/>
            </a:ext>
          </a:extLst>
        </xdr:cNvPr>
        <xdr:cNvSpPr/>
      </xdr:nvSpPr>
      <xdr:spPr>
        <a:xfrm>
          <a:off x="1285875" y="5905500"/>
          <a:ext cx="5724525" cy="1314450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Checking: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Stock Price column Sum</a:t>
          </a:r>
          <a:r>
            <a:rPr lang="en-US" baseline="0">
              <a:solidFill>
                <a:schemeClr val="tx1"/>
              </a:solidFill>
            </a:rPr>
            <a:t> = 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2027.17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>
              <a:solidFill>
                <a:schemeClr val="tx1"/>
              </a:solidFill>
            </a:rPr>
            <a:t>Wditht sum 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1.000000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DJIA divisor (as of May 5, 2007)</a:t>
          </a:r>
          <a:r>
            <a:rPr lang="en-US">
              <a:solidFill>
                <a:schemeClr val="tx1"/>
              </a:solidFill>
            </a:rPr>
            <a:t> 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0.13021608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DJIA = Sum(Price)/Divisor</a:t>
          </a:r>
          <a:r>
            <a:rPr lang="en-US">
              <a:solidFill>
                <a:schemeClr val="tx1"/>
              </a:solidFill>
            </a:rPr>
            <a:t> =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15567.74</a:t>
          </a:r>
          <a:r>
            <a:rPr lang="en-US">
              <a:solidFill>
                <a:schemeClr val="tx1"/>
              </a:solidFill>
            </a:rPr>
            <a:t> 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&lt;-- This was the closing DJIA on July 23, 2013.</a:t>
          </a:r>
          <a:r>
            <a:rPr lang="en-US">
              <a:solidFill>
                <a:schemeClr val="tx1"/>
              </a:solidFill>
            </a:rPr>
            <a:t> </a:t>
          </a:r>
        </a:p>
        <a:p>
          <a:pPr algn="l"/>
          <a:r>
            <a:rPr lang="en-US" sz="1100" i="1">
              <a:solidFill>
                <a:srgbClr val="C00000"/>
              </a:solidFill>
            </a:rPr>
            <a:t>Challenge: </a:t>
          </a:r>
          <a:r>
            <a:rPr lang="en-US" sz="1100">
              <a:solidFill>
                <a:schemeClr val="tx1"/>
              </a:solidFill>
            </a:rPr>
            <a:t>Perform your own calculations for latest DJIA stock prices.</a:t>
          </a:r>
        </a:p>
      </xdr:txBody>
    </xdr:sp>
    <xdr:clientData/>
  </xdr:twoCellAnchor>
  <xdr:twoCellAnchor editAs="oneCell">
    <xdr:from>
      <xdr:col>6</xdr:col>
      <xdr:colOff>514350</xdr:colOff>
      <xdr:row>26</xdr:row>
      <xdr:rowOff>85725</xdr:rowOff>
    </xdr:from>
    <xdr:to>
      <xdr:col>10</xdr:col>
      <xdr:colOff>161664</xdr:colOff>
      <xdr:row>36</xdr:row>
      <xdr:rowOff>47427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651E83-FFE1-4B1C-8E14-BAC2FEC60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01000" y="43243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9"/>
  <sheetViews>
    <sheetView showGridLines="0" tabSelected="1" workbookViewId="0"/>
  </sheetViews>
  <sheetFormatPr defaultRowHeight="12.75" x14ac:dyDescent="0.2"/>
  <cols>
    <col min="1" max="1" width="6.140625" customWidth="1"/>
    <col min="2" max="2" width="35" customWidth="1"/>
    <col min="3" max="3" width="9" customWidth="1"/>
    <col min="4" max="4" width="34.7109375" bestFit="1" customWidth="1"/>
    <col min="5" max="5" width="13.42578125" style="2" customWidth="1"/>
    <col min="6" max="6" width="14" customWidth="1"/>
  </cols>
  <sheetData>
    <row r="1" spans="1:7" ht="15" x14ac:dyDescent="0.2">
      <c r="B1" s="17" t="s">
        <v>46</v>
      </c>
    </row>
    <row r="3" spans="1:7" x14ac:dyDescent="0.2">
      <c r="B3" s="18" t="s">
        <v>43</v>
      </c>
      <c r="C3" s="19" t="s">
        <v>42</v>
      </c>
      <c r="D3" s="19" t="s">
        <v>44</v>
      </c>
      <c r="E3" s="20" t="s">
        <v>45</v>
      </c>
      <c r="F3" s="24" t="s">
        <v>40</v>
      </c>
      <c r="G3" s="2"/>
    </row>
    <row r="4" spans="1:7" x14ac:dyDescent="0.2">
      <c r="A4">
        <v>1</v>
      </c>
      <c r="B4" s="8" t="s">
        <v>88</v>
      </c>
      <c r="C4" s="9" t="s">
        <v>17</v>
      </c>
      <c r="D4" s="9" t="s">
        <v>47</v>
      </c>
      <c r="E4" s="10">
        <v>194.98</v>
      </c>
      <c r="F4" s="5">
        <f t="shared" ref="F4:F33" si="0">E4/$E$35</f>
        <v>9.6183349201102997E-2</v>
      </c>
    </row>
    <row r="5" spans="1:7" x14ac:dyDescent="0.2">
      <c r="A5">
        <v>2</v>
      </c>
      <c r="B5" s="11" t="s">
        <v>49</v>
      </c>
      <c r="C5" s="12" t="s">
        <v>48</v>
      </c>
      <c r="D5" s="12" t="s">
        <v>50</v>
      </c>
      <c r="E5" s="13">
        <v>127.26</v>
      </c>
      <c r="F5" s="6">
        <f t="shared" si="0"/>
        <v>6.2777172116793359E-2</v>
      </c>
    </row>
    <row r="6" spans="1:7" x14ac:dyDescent="0.2">
      <c r="A6">
        <v>3</v>
      </c>
      <c r="B6" s="11" t="s">
        <v>51</v>
      </c>
      <c r="C6" s="12" t="s">
        <v>0</v>
      </c>
      <c r="D6" s="12" t="s">
        <v>52</v>
      </c>
      <c r="E6" s="13">
        <v>116.75</v>
      </c>
      <c r="F6" s="6">
        <f t="shared" si="0"/>
        <v>5.7592604468298163E-2</v>
      </c>
    </row>
    <row r="7" spans="1:7" x14ac:dyDescent="0.2">
      <c r="A7">
        <v>4</v>
      </c>
      <c r="B7" s="11" t="s">
        <v>53</v>
      </c>
      <c r="C7" s="12" t="s">
        <v>6</v>
      </c>
      <c r="D7" s="12" t="s">
        <v>54</v>
      </c>
      <c r="E7" s="13">
        <v>107.79</v>
      </c>
      <c r="F7" s="6">
        <f t="shared" si="0"/>
        <v>5.3172649555784664E-2</v>
      </c>
    </row>
    <row r="8" spans="1:7" x14ac:dyDescent="0.2">
      <c r="A8">
        <v>5</v>
      </c>
      <c r="B8" s="11" t="s">
        <v>33</v>
      </c>
      <c r="C8" s="12" t="s">
        <v>34</v>
      </c>
      <c r="D8" s="12" t="s">
        <v>52</v>
      </c>
      <c r="E8" s="13">
        <v>105.12</v>
      </c>
      <c r="F8" s="6">
        <f t="shared" si="0"/>
        <v>5.1855542455738785E-2</v>
      </c>
    </row>
    <row r="9" spans="1:7" x14ac:dyDescent="0.2">
      <c r="A9">
        <v>6</v>
      </c>
      <c r="B9" s="11" t="s">
        <v>23</v>
      </c>
      <c r="C9" s="12" t="s">
        <v>24</v>
      </c>
      <c r="D9" s="12" t="s">
        <v>55</v>
      </c>
      <c r="E9" s="13">
        <v>96.76</v>
      </c>
      <c r="F9" s="6">
        <f t="shared" si="0"/>
        <v>4.7731566666831093E-2</v>
      </c>
    </row>
    <row r="10" spans="1:7" x14ac:dyDescent="0.2">
      <c r="A10">
        <v>7</v>
      </c>
      <c r="B10" s="11" t="s">
        <v>56</v>
      </c>
      <c r="C10" s="12" t="s">
        <v>11</v>
      </c>
      <c r="D10" s="12" t="s">
        <v>50</v>
      </c>
      <c r="E10" s="13">
        <v>95.2</v>
      </c>
      <c r="F10" s="6">
        <f t="shared" si="0"/>
        <v>4.6962020945455978E-2</v>
      </c>
    </row>
    <row r="11" spans="1:7" x14ac:dyDescent="0.2">
      <c r="A11">
        <v>8</v>
      </c>
      <c r="B11" s="11" t="s">
        <v>18</v>
      </c>
      <c r="C11" s="12" t="s">
        <v>19</v>
      </c>
      <c r="D11" s="12" t="s">
        <v>20</v>
      </c>
      <c r="E11" s="13">
        <v>92.42</v>
      </c>
      <c r="F11" s="6">
        <f t="shared" si="0"/>
        <v>4.5590651006082367E-2</v>
      </c>
    </row>
    <row r="12" spans="1:7" x14ac:dyDescent="0.2">
      <c r="A12">
        <v>9</v>
      </c>
      <c r="B12" s="11" t="s">
        <v>7</v>
      </c>
      <c r="C12" s="12" t="s">
        <v>8</v>
      </c>
      <c r="D12" s="12" t="s">
        <v>57</v>
      </c>
      <c r="E12" s="13">
        <v>85.52</v>
      </c>
      <c r="F12" s="6">
        <f t="shared" si="0"/>
        <v>4.2186891084615492E-2</v>
      </c>
    </row>
    <row r="13" spans="1:7" x14ac:dyDescent="0.2">
      <c r="A13">
        <v>10</v>
      </c>
      <c r="B13" s="11" t="s">
        <v>59</v>
      </c>
      <c r="C13" s="12" t="s">
        <v>58</v>
      </c>
      <c r="D13" s="12" t="s">
        <v>60</v>
      </c>
      <c r="E13" s="13">
        <v>82.21</v>
      </c>
      <c r="F13" s="6">
        <f t="shared" si="0"/>
        <v>4.0554072919390075E-2</v>
      </c>
    </row>
    <row r="14" spans="1:7" x14ac:dyDescent="0.2">
      <c r="A14">
        <v>11</v>
      </c>
      <c r="B14" s="11" t="s">
        <v>31</v>
      </c>
      <c r="C14" s="12" t="s">
        <v>32</v>
      </c>
      <c r="D14" s="12" t="s">
        <v>61</v>
      </c>
      <c r="E14" s="13">
        <v>80.95</v>
      </c>
      <c r="F14" s="6">
        <f t="shared" si="0"/>
        <v>3.993251675981787E-2</v>
      </c>
    </row>
    <row r="15" spans="1:7" x14ac:dyDescent="0.2">
      <c r="A15">
        <v>12</v>
      </c>
      <c r="B15" s="11" t="s">
        <v>62</v>
      </c>
      <c r="C15" s="12" t="s">
        <v>14</v>
      </c>
      <c r="D15" s="12" t="s">
        <v>63</v>
      </c>
      <c r="E15" s="13">
        <v>80.19</v>
      </c>
      <c r="F15" s="6">
        <f t="shared" si="0"/>
        <v>3.9557609869917167E-2</v>
      </c>
    </row>
    <row r="16" spans="1:7" x14ac:dyDescent="0.2">
      <c r="A16">
        <v>13</v>
      </c>
      <c r="B16" s="11" t="s">
        <v>37</v>
      </c>
      <c r="C16" s="12" t="s">
        <v>38</v>
      </c>
      <c r="D16" s="12" t="s">
        <v>64</v>
      </c>
      <c r="E16" s="13">
        <v>78.55</v>
      </c>
      <c r="F16" s="6">
        <f t="shared" si="0"/>
        <v>3.874860026539461E-2</v>
      </c>
    </row>
    <row r="17" spans="1:6" x14ac:dyDescent="0.2">
      <c r="A17">
        <v>14</v>
      </c>
      <c r="B17" s="11" t="s">
        <v>65</v>
      </c>
      <c r="C17" s="12" t="s">
        <v>4</v>
      </c>
      <c r="D17" s="12" t="s">
        <v>66</v>
      </c>
      <c r="E17" s="13">
        <v>74.41</v>
      </c>
      <c r="F17" s="6">
        <f t="shared" si="0"/>
        <v>3.6706344312514481E-2</v>
      </c>
    </row>
    <row r="18" spans="1:6" x14ac:dyDescent="0.2">
      <c r="A18">
        <v>15</v>
      </c>
      <c r="B18" s="11" t="s">
        <v>68</v>
      </c>
      <c r="C18" s="12" t="s">
        <v>67</v>
      </c>
      <c r="D18" s="12" t="s">
        <v>69</v>
      </c>
      <c r="E18" s="13">
        <v>72.69</v>
      </c>
      <c r="F18" s="6">
        <f t="shared" si="0"/>
        <v>3.5857870824844484E-2</v>
      </c>
    </row>
    <row r="19" spans="1:6" x14ac:dyDescent="0.2">
      <c r="A19">
        <v>16</v>
      </c>
      <c r="B19" s="11" t="s">
        <v>70</v>
      </c>
      <c r="C19" s="12" t="s">
        <v>39</v>
      </c>
      <c r="D19" s="12" t="s">
        <v>71</v>
      </c>
      <c r="E19" s="13">
        <v>64.45</v>
      </c>
      <c r="F19" s="6">
        <f t="shared" si="0"/>
        <v>3.1793090860657958E-2</v>
      </c>
    </row>
    <row r="20" spans="1:6" x14ac:dyDescent="0.2">
      <c r="A20">
        <v>17</v>
      </c>
      <c r="B20" s="11" t="s">
        <v>72</v>
      </c>
      <c r="C20" s="12" t="s">
        <v>10</v>
      </c>
      <c r="D20" s="12" t="s">
        <v>73</v>
      </c>
      <c r="E20" s="13">
        <v>57.12</v>
      </c>
      <c r="F20" s="6">
        <f t="shared" si="0"/>
        <v>2.8177212567273582E-2</v>
      </c>
    </row>
    <row r="21" spans="1:6" x14ac:dyDescent="0.2">
      <c r="A21">
        <v>18</v>
      </c>
      <c r="B21" s="11" t="s">
        <v>21</v>
      </c>
      <c r="C21" s="12" t="s">
        <v>22</v>
      </c>
      <c r="D21" s="12" t="s">
        <v>74</v>
      </c>
      <c r="E21" s="13">
        <v>56.67</v>
      </c>
      <c r="F21" s="6">
        <f t="shared" si="0"/>
        <v>2.7955228224569223E-2</v>
      </c>
    </row>
    <row r="22" spans="1:6" x14ac:dyDescent="0.2">
      <c r="A22">
        <v>19</v>
      </c>
      <c r="B22" s="11" t="s">
        <v>35</v>
      </c>
      <c r="C22" s="12" t="s">
        <v>36</v>
      </c>
      <c r="D22" s="12" t="s">
        <v>75</v>
      </c>
      <c r="E22" s="13">
        <v>50.36</v>
      </c>
      <c r="F22" s="6">
        <f t="shared" si="0"/>
        <v>2.4842514441314734E-2</v>
      </c>
    </row>
    <row r="23" spans="1:6" x14ac:dyDescent="0.2">
      <c r="A23">
        <v>20</v>
      </c>
      <c r="B23" s="11" t="s">
        <v>25</v>
      </c>
      <c r="C23" s="12" t="s">
        <v>26</v>
      </c>
      <c r="D23" s="12" t="s">
        <v>20</v>
      </c>
      <c r="E23" s="13">
        <v>47.93</v>
      </c>
      <c r="F23" s="6">
        <f t="shared" si="0"/>
        <v>2.3643798990711184E-2</v>
      </c>
    </row>
    <row r="24" spans="1:6" x14ac:dyDescent="0.2">
      <c r="A24">
        <v>21</v>
      </c>
      <c r="B24" s="11" t="s">
        <v>76</v>
      </c>
      <c r="C24" s="12" t="s">
        <v>9</v>
      </c>
      <c r="D24" s="12" t="s">
        <v>77</v>
      </c>
      <c r="E24" s="13">
        <v>40.96</v>
      </c>
      <c r="F24" s="6">
        <f t="shared" si="0"/>
        <v>2.0205508171490302E-2</v>
      </c>
    </row>
    <row r="25" spans="1:6" x14ac:dyDescent="0.2">
      <c r="A25">
        <v>22</v>
      </c>
      <c r="B25" s="11" t="s">
        <v>78</v>
      </c>
      <c r="C25" s="12" t="s">
        <v>5</v>
      </c>
      <c r="D25" s="12" t="s">
        <v>75</v>
      </c>
      <c r="E25" s="13">
        <v>35.81</v>
      </c>
      <c r="F25" s="6">
        <f t="shared" si="0"/>
        <v>1.7665020693873722E-2</v>
      </c>
    </row>
    <row r="26" spans="1:6" x14ac:dyDescent="0.2">
      <c r="A26">
        <v>23</v>
      </c>
      <c r="B26" s="11" t="s">
        <v>79</v>
      </c>
      <c r="C26" s="12" t="s">
        <v>27</v>
      </c>
      <c r="D26" s="12" t="s">
        <v>28</v>
      </c>
      <c r="E26" s="13">
        <v>31.82</v>
      </c>
      <c r="F26" s="6">
        <f t="shared" si="0"/>
        <v>1.5696759521895053E-2</v>
      </c>
    </row>
    <row r="27" spans="1:6" x14ac:dyDescent="0.2">
      <c r="A27">
        <v>24</v>
      </c>
      <c r="B27" s="11" t="s">
        <v>29</v>
      </c>
      <c r="C27" s="12" t="s">
        <v>30</v>
      </c>
      <c r="D27" s="12" t="s">
        <v>20</v>
      </c>
      <c r="E27" s="13">
        <v>29.42</v>
      </c>
      <c r="F27" s="6">
        <f t="shared" si="0"/>
        <v>1.4512843027471795E-2</v>
      </c>
    </row>
    <row r="28" spans="1:6" x14ac:dyDescent="0.2">
      <c r="A28">
        <v>25</v>
      </c>
      <c r="B28" s="11" t="s">
        <v>80</v>
      </c>
      <c r="C28" s="12" t="s">
        <v>13</v>
      </c>
      <c r="D28" s="12" t="s">
        <v>47</v>
      </c>
      <c r="E28" s="13">
        <v>25.73</v>
      </c>
      <c r="F28" s="6">
        <f t="shared" si="0"/>
        <v>1.2692571417296033E-2</v>
      </c>
    </row>
    <row r="29" spans="1:6" x14ac:dyDescent="0.2">
      <c r="A29">
        <v>26</v>
      </c>
      <c r="B29" s="11" t="s">
        <v>82</v>
      </c>
      <c r="C29" s="12" t="s">
        <v>81</v>
      </c>
      <c r="D29" s="12" t="s">
        <v>83</v>
      </c>
      <c r="E29" s="13">
        <v>25.56</v>
      </c>
      <c r="F29" s="6">
        <f t="shared" si="0"/>
        <v>1.2608710665607717E-2</v>
      </c>
    </row>
    <row r="30" spans="1:6" x14ac:dyDescent="0.2">
      <c r="A30">
        <v>27</v>
      </c>
      <c r="B30" s="11" t="s">
        <v>84</v>
      </c>
      <c r="C30" s="12" t="s">
        <v>12</v>
      </c>
      <c r="D30" s="12" t="s">
        <v>52</v>
      </c>
      <c r="E30" s="13">
        <v>24.71</v>
      </c>
      <c r="F30" s="6">
        <f t="shared" si="0"/>
        <v>1.2189406907166146E-2</v>
      </c>
    </row>
    <row r="31" spans="1:6" x14ac:dyDescent="0.2">
      <c r="A31">
        <v>28</v>
      </c>
      <c r="B31" s="11" t="s">
        <v>85</v>
      </c>
      <c r="C31" s="12" t="s">
        <v>15</v>
      </c>
      <c r="D31" s="12" t="s">
        <v>16</v>
      </c>
      <c r="E31" s="13">
        <v>22.75</v>
      </c>
      <c r="F31" s="6">
        <f t="shared" si="0"/>
        <v>1.1222541770053817E-2</v>
      </c>
    </row>
    <row r="32" spans="1:6" x14ac:dyDescent="0.2">
      <c r="A32">
        <v>29</v>
      </c>
      <c r="B32" s="11" t="s">
        <v>87</v>
      </c>
      <c r="C32" s="12" t="s">
        <v>86</v>
      </c>
      <c r="D32" s="12" t="s">
        <v>74</v>
      </c>
      <c r="E32" s="13">
        <v>14.94</v>
      </c>
      <c r="F32" s="6">
        <f t="shared" si="0"/>
        <v>7.3698801777847926E-3</v>
      </c>
    </row>
    <row r="33" spans="1:6" x14ac:dyDescent="0.2">
      <c r="A33">
        <v>30</v>
      </c>
      <c r="B33" s="14" t="s">
        <v>1</v>
      </c>
      <c r="C33" s="15" t="s">
        <v>2</v>
      </c>
      <c r="D33" s="15" t="s">
        <v>3</v>
      </c>
      <c r="E33" s="16">
        <v>8.14</v>
      </c>
      <c r="F33" s="7">
        <f t="shared" si="0"/>
        <v>4.0154501102522234E-3</v>
      </c>
    </row>
    <row r="34" spans="1:6" x14ac:dyDescent="0.2">
      <c r="E34" s="21"/>
      <c r="F34" s="1"/>
    </row>
    <row r="35" spans="1:6" x14ac:dyDescent="0.2">
      <c r="D35" t="s">
        <v>41</v>
      </c>
      <c r="E35" s="22">
        <f>SUM(E4:E33)</f>
        <v>2027.1700000000003</v>
      </c>
      <c r="F35" s="1">
        <f>E35/$E$35</f>
        <v>1</v>
      </c>
    </row>
    <row r="36" spans="1:6" x14ac:dyDescent="0.2">
      <c r="E36" s="23"/>
      <c r="F36" s="1"/>
    </row>
    <row r="37" spans="1:6" x14ac:dyDescent="0.2">
      <c r="E37" s="22"/>
      <c r="F37" s="4"/>
    </row>
    <row r="38" spans="1:6" x14ac:dyDescent="0.2">
      <c r="F38" s="3"/>
    </row>
    <row r="39" spans="1:6" x14ac:dyDescent="0.2">
      <c r="F39" s="3"/>
    </row>
  </sheetData>
  <phoneticPr fontId="3" type="noConversion"/>
  <pageMargins left="0.75" right="0.75" top="1" bottom="1" header="0.5" footer="0.5"/>
  <pageSetup scale="75" orientation="landscape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DJIA Components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What Is the Dow Jones Industrial Average (DJIA)?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2020-03-09T20:11:13Z</cp:lastPrinted>
  <dcterms:created xsi:type="dcterms:W3CDTF">2007-05-05T20:20:12Z</dcterms:created>
  <dcterms:modified xsi:type="dcterms:W3CDTF">2023-03-11T17:34:50Z</dcterms:modified>
</cp:coreProperties>
</file>