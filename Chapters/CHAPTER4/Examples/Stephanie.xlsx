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462FF643-9E31-48E2-BBED-32F4AF8C4FF2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Mean">Data!$C$11</definedName>
    <definedName name="_xlnm.Print_Area" localSheetId="0">Data!$A$1:$L$22</definedName>
    <definedName name="X">Data!$C$4:$C$8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10" i="1" s="1"/>
  <c r="F7" i="1"/>
  <c r="F8" i="1"/>
  <c r="C10" i="1"/>
  <c r="C11" i="1"/>
  <c r="D8" i="1" s="1"/>
  <c r="E8" i="1" s="1"/>
  <c r="D6" i="1" l="1"/>
  <c r="E6" i="1" s="1"/>
  <c r="D4" i="1"/>
  <c r="D7" i="1"/>
  <c r="E7" i="1" s="1"/>
  <c r="D5" i="1"/>
  <c r="E5" i="1" s="1"/>
  <c r="E4" i="1" l="1"/>
  <c r="E10" i="1" s="1"/>
  <c r="D10" i="1"/>
</calcChain>
</file>

<file path=xl/sharedStrings.xml><?xml version="1.0" encoding="utf-8"?>
<sst xmlns="http://schemas.openxmlformats.org/spreadsheetml/2006/main" count="13" uniqueCount="13">
  <si>
    <t>Sum</t>
  </si>
  <si>
    <t>Mean</t>
  </si>
  <si>
    <t>Obs</t>
  </si>
  <si>
    <t>Stephanie's Quiz Scores (n = 5)</t>
  </si>
  <si>
    <t>x</t>
  </si>
  <si>
    <t>x-Mean</t>
  </si>
  <si>
    <t>Quiz 1</t>
  </si>
  <si>
    <t>Quiz 2</t>
  </si>
  <si>
    <t>Quiz 3</t>
  </si>
  <si>
    <t>Quiz 4</t>
  </si>
  <si>
    <t>Quiz 5</t>
  </si>
  <si>
    <r>
      <t>(</t>
    </r>
    <r>
      <rPr>
        <b/>
        <i/>
        <sz val="10"/>
        <color theme="0"/>
        <rFont val="Arial"/>
        <family val="2"/>
      </rPr>
      <t>x-Mean</t>
    </r>
    <r>
      <rPr>
        <b/>
        <sz val="10"/>
        <color theme="0"/>
        <rFont val="Arial"/>
        <family val="2"/>
      </rPr>
      <t>)</t>
    </r>
    <r>
      <rPr>
        <b/>
        <vertAlign val="superscript"/>
        <sz val="10"/>
        <color theme="0"/>
        <rFont val="Arial"/>
        <family val="2"/>
      </rPr>
      <t>2</t>
    </r>
  </si>
  <si>
    <r>
      <rPr>
        <b/>
        <i/>
        <sz val="10"/>
        <color theme="0"/>
        <rFont val="Arial"/>
        <family val="2"/>
      </rPr>
      <t>x</t>
    </r>
    <r>
      <rPr>
        <b/>
        <vertAlign val="superscript"/>
        <sz val="10"/>
        <color theme="0"/>
        <rFont val="Arial"/>
        <family val="2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</si>
</sst>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  <font>
      <b/>
      <sz val="10"/>
      <color theme="0"/>
      <name val="Arial"/>
      <family val="2"/>
    </font>
    <font>
      <b/>
      <vertAlign val="superscript"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/>
    <xf numFmtId="0" fontId="0" fillId="2" borderId="0" xfId="0" applyFill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3" borderId="9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0" xfId="0" applyFont="1" applyFill="1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238124</xdr:colOff>
      <xdr:row>1</xdr:row>
      <xdr:rowOff>152400</xdr:rowOff>
    </xdr:from>
    <xdr:to>
      <xdr:col>10</xdr:col>
      <xdr:colOff>114299</xdr:colOff>
      <xdr:row>8</xdr:row>
      <xdr:rowOff>95250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1BC0E06-2639-40BA-AF02-9AD00A5E8554}"/>
            </a:ext>
          </a:extLst>
        </xdr:cNvPr>
        <xdr:cNvSpPr/>
      </xdr:nvSpPr>
      <xdr:spPr>
        <a:xfrm>
          <a:off x="3533774" y="342900"/>
          <a:ext cx="2352675" cy="1095375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Comment: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spreadsheet is to illustrate the calculation of the sample standard deviation, and to show that two different formulas give the same result.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38099</xdr:colOff>
      <xdr:row>12</xdr:row>
      <xdr:rowOff>38100</xdr:rowOff>
    </xdr:from>
    <xdr:to>
      <xdr:col>7</xdr:col>
      <xdr:colOff>590550</xdr:colOff>
      <xdr:row>15</xdr:row>
      <xdr:rowOff>85725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15DCC9D-F3D2-4FD9-814A-0AEAF3B68D8D}"/>
            </a:ext>
          </a:extLst>
        </xdr:cNvPr>
        <xdr:cNvSpPr/>
      </xdr:nvSpPr>
      <xdr:spPr>
        <a:xfrm>
          <a:off x="285749" y="2028825"/>
          <a:ext cx="4210051" cy="5334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Using definitional formula:  </a:t>
          </a:r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24.39262 = SQRT(E10/(5-1))</a:t>
          </a:r>
        </a:p>
        <a:p>
          <a:pPr algn="l"/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Using two-sum formula:  </a:t>
          </a:r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24.39262</a:t>
          </a:r>
          <a:r>
            <a:rPr lang="en-US">
              <a:solidFill>
                <a:schemeClr val="tx1"/>
              </a:solidFill>
            </a:rPr>
            <a:t> =SQRT((F10-(C10^2)/5)/(5-1))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28575</xdr:colOff>
      <xdr:row>17</xdr:row>
      <xdr:rowOff>9524</xdr:rowOff>
    </xdr:from>
    <xdr:to>
      <xdr:col>3</xdr:col>
      <xdr:colOff>276225</xdr:colOff>
      <xdr:row>21</xdr:row>
      <xdr:rowOff>152399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A595F61-237D-4BBD-8F48-A5F99F0942D3}"/>
            </a:ext>
          </a:extLst>
        </xdr:cNvPr>
        <xdr:cNvSpPr/>
      </xdr:nvSpPr>
      <xdr:spPr>
        <a:xfrm>
          <a:off x="276225" y="2809874"/>
          <a:ext cx="1466850" cy="7905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Range names used: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 b="1" i="1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100" b="1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C6:C10</a:t>
          </a: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Mean</a:t>
          </a:r>
          <a:r>
            <a:rPr lang="en-US">
              <a:solidFill>
                <a:schemeClr val="tx1"/>
              </a:solidFill>
            </a:rPr>
            <a:t> =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C13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571500</xdr:colOff>
      <xdr:row>17</xdr:row>
      <xdr:rowOff>57150</xdr:rowOff>
    </xdr:from>
    <xdr:to>
      <xdr:col>7</xdr:col>
      <xdr:colOff>218814</xdr:colOff>
      <xdr:row>27</xdr:row>
      <xdr:rowOff>18852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4AEDC9-642F-434E-B8E8-9C63EE3DA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8350" y="28575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1"/>
  <sheetViews>
    <sheetView showGridLines="0" tabSelected="1" workbookViewId="0"/>
  </sheetViews>
  <sheetFormatPr defaultRowHeight="12.75" x14ac:dyDescent="0.2"/>
  <cols>
    <col min="1" max="1" width="3.7109375" customWidth="1"/>
    <col min="9" max="9" width="13.85546875" customWidth="1"/>
    <col min="10" max="10" width="5" customWidth="1"/>
  </cols>
  <sheetData>
    <row r="1" spans="2:11" ht="15" x14ac:dyDescent="0.2">
      <c r="B1" s="17" t="s">
        <v>3</v>
      </c>
    </row>
    <row r="3" spans="2:11" ht="14.25" x14ac:dyDescent="0.2">
      <c r="B3" s="18" t="s">
        <v>2</v>
      </c>
      <c r="C3" s="19" t="s">
        <v>4</v>
      </c>
      <c r="D3" s="19" t="s">
        <v>5</v>
      </c>
      <c r="E3" s="20" t="s">
        <v>11</v>
      </c>
      <c r="F3" s="21" t="s">
        <v>12</v>
      </c>
    </row>
    <row r="4" spans="2:11" x14ac:dyDescent="0.2">
      <c r="B4" s="11" t="s">
        <v>6</v>
      </c>
      <c r="C4" s="12">
        <v>40</v>
      </c>
      <c r="D4" s="13">
        <f>X-Mean</f>
        <v>-32</v>
      </c>
      <c r="E4" s="13">
        <f>D4^2</f>
        <v>1024</v>
      </c>
      <c r="F4" s="14">
        <f>X^2</f>
        <v>1600</v>
      </c>
    </row>
    <row r="5" spans="2:11" x14ac:dyDescent="0.2">
      <c r="B5" s="1" t="s">
        <v>7</v>
      </c>
      <c r="C5" s="2">
        <v>55</v>
      </c>
      <c r="D5" s="3">
        <f>X-Mean</f>
        <v>-17</v>
      </c>
      <c r="E5" s="3">
        <f>D5^2</f>
        <v>289</v>
      </c>
      <c r="F5" s="10">
        <f>X^2</f>
        <v>3025</v>
      </c>
    </row>
    <row r="6" spans="2:11" x14ac:dyDescent="0.2">
      <c r="B6" s="1" t="s">
        <v>8</v>
      </c>
      <c r="C6" s="2">
        <v>75</v>
      </c>
      <c r="D6" s="3">
        <f>X-Mean</f>
        <v>3</v>
      </c>
      <c r="E6" s="3">
        <f>D6^2</f>
        <v>9</v>
      </c>
      <c r="F6" s="10">
        <f>X^2</f>
        <v>5625</v>
      </c>
    </row>
    <row r="7" spans="2:11" x14ac:dyDescent="0.2">
      <c r="B7" s="1" t="s">
        <v>9</v>
      </c>
      <c r="C7" s="2">
        <v>95</v>
      </c>
      <c r="D7" s="3">
        <f>X-Mean</f>
        <v>23</v>
      </c>
      <c r="E7" s="3">
        <f>D7^2</f>
        <v>529</v>
      </c>
      <c r="F7" s="10">
        <f>X^2</f>
        <v>9025</v>
      </c>
    </row>
    <row r="8" spans="2:11" x14ac:dyDescent="0.2">
      <c r="B8" s="1" t="s">
        <v>10</v>
      </c>
      <c r="C8" s="2">
        <v>95</v>
      </c>
      <c r="D8" s="3">
        <f>X-Mean</f>
        <v>23</v>
      </c>
      <c r="E8" s="3">
        <f>D8^2</f>
        <v>529</v>
      </c>
      <c r="F8" s="10">
        <f>X^2</f>
        <v>9025</v>
      </c>
    </row>
    <row r="9" spans="2:11" x14ac:dyDescent="0.2">
      <c r="B9" s="1"/>
      <c r="C9" s="2"/>
      <c r="D9" s="3"/>
      <c r="E9" s="5"/>
      <c r="F9" s="4"/>
      <c r="H9" s="22"/>
      <c r="I9" s="22"/>
      <c r="J9" s="22"/>
      <c r="K9" s="16"/>
    </row>
    <row r="10" spans="2:11" x14ac:dyDescent="0.2">
      <c r="B10" s="1" t="s">
        <v>0</v>
      </c>
      <c r="C10" s="2">
        <f>SUM(C4:C8)</f>
        <v>360</v>
      </c>
      <c r="D10" s="2">
        <f>SUM(D4:D8)</f>
        <v>0</v>
      </c>
      <c r="E10" s="2">
        <f>SUM(E4:E8)</f>
        <v>2380</v>
      </c>
      <c r="F10" s="15">
        <f>SUM(F4:F8)</f>
        <v>28300</v>
      </c>
      <c r="H10" s="22"/>
      <c r="I10" s="22"/>
      <c r="J10" s="22"/>
      <c r="K10" s="16"/>
    </row>
    <row r="11" spans="2:11" x14ac:dyDescent="0.2">
      <c r="B11" s="6" t="s">
        <v>1</v>
      </c>
      <c r="C11" s="7">
        <f>AVERAGE(C4:C8)</f>
        <v>72</v>
      </c>
      <c r="D11" s="8"/>
      <c r="E11" s="8"/>
      <c r="F11" s="9"/>
    </row>
  </sheetData>
  <mergeCells count="2">
    <mergeCell ref="H9:J9"/>
    <mergeCell ref="H10:J10"/>
  </mergeCells>
  <phoneticPr fontId="0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Data</vt:lpstr>
      <vt:lpstr>Extra Sheet</vt:lpstr>
      <vt:lpstr>Mean</vt:lpstr>
      <vt:lpstr>Data!Print_Area</vt:lpstr>
      <vt:lpstr>X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Stephanie's Scores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2020-03-10T05:09:34Z</cp:lastPrinted>
  <dcterms:created xsi:type="dcterms:W3CDTF">2004-08-18T16:32:01Z</dcterms:created>
  <dcterms:modified xsi:type="dcterms:W3CDTF">2023-03-11T17:38:35Z</dcterms:modified>
</cp:coreProperties>
</file>