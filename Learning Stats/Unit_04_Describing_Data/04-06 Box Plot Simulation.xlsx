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trlProps/ctrlProp1.xml" ContentType="application/vnd.ms-excel.controlproperties+xml"/>
  <Override PartName="/xl/charts/chart3.xml" ContentType="application/vnd.openxmlformats-officedocument.drawingml.chart+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C:\Users\doane\Documents\Admin - David\Textbooks\Textbook - ASBE 8e\LearningStats2025\Unit 04 - Describing Data\"/>
    </mc:Choice>
  </mc:AlternateContent>
  <xr:revisionPtr revIDLastSave="0" documentId="13_ncr:1_{33556663-4C06-4CF5-AA16-0083355027AA}" xr6:coauthVersionLast="47" xr6:coauthVersionMax="47" xr10:uidLastSave="{00000000-0000-0000-0000-000000000000}"/>
  <bookViews>
    <workbookView xWindow="3045" yWindow="1920" windowWidth="23625" windowHeight="13275" xr2:uid="{00000000-000D-0000-FFFF-FFFF00000000}"/>
  </bookViews>
  <sheets>
    <sheet name="Overview" sheetId="7" r:id="rId1"/>
    <sheet name="Normal" sheetId="1" r:id="rId2"/>
    <sheet name="Uniform" sheetId="4" r:id="rId3"/>
    <sheet name="Skewed" sheetId="6" r:id="rId4"/>
    <sheet name="Extra Sheet" sheetId="2" r:id="rId5"/>
  </sheets>
  <definedNames>
    <definedName name="AA">Uniform!$F$1</definedName>
    <definedName name="BB">Uniform!$F$3</definedName>
    <definedName name="ChiDF">Skewed!$O$9</definedName>
    <definedName name="Mean" localSheetId="3">Skewed!#REF!</definedName>
    <definedName name="Mean" localSheetId="2">Uniform!$F$1</definedName>
    <definedName name="Mean">Normal!$F$1</definedName>
    <definedName name="Sample" localSheetId="3">Skewed!$B$6:$F$15</definedName>
    <definedName name="Sample" localSheetId="2">Uniform!$B$6:$F$15</definedName>
    <definedName name="Sample">Normal!$B$6:$F$15</definedName>
    <definedName name="SampleS">Skewed!$B$6:$F$15</definedName>
    <definedName name="SampleU">Uniform!$B$6:$F$15</definedName>
    <definedName name="StDev" localSheetId="3">Skewed!$F$3</definedName>
    <definedName name="StDev" localSheetId="2">Uniform!$F$3</definedName>
    <definedName name="StDev">Normal!$F$3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9" i="6" l="1"/>
  <c r="L19" i="6" s="1"/>
  <c r="O29" i="6" s="1"/>
  <c r="K19" i="4"/>
  <c r="O35" i="4" s="1"/>
  <c r="J19" i="4"/>
  <c r="O32" i="4" s="1"/>
  <c r="L19" i="4"/>
  <c r="O29" i="4"/>
  <c r="I19" i="4"/>
  <c r="O26" i="4" s="1"/>
  <c r="H19" i="4"/>
  <c r="O19" i="4" s="1"/>
  <c r="H19" i="1"/>
  <c r="O19" i="1" s="1"/>
  <c r="K19" i="1"/>
  <c r="O35" i="1" s="1"/>
  <c r="J19" i="1"/>
  <c r="O32" i="1" s="1"/>
  <c r="O31" i="1"/>
  <c r="L19" i="1"/>
  <c r="O29" i="1" s="1"/>
  <c r="I19" i="1"/>
  <c r="O25" i="1" s="1"/>
  <c r="B6" i="1"/>
  <c r="C6" i="1"/>
  <c r="D6" i="1"/>
  <c r="E6" i="1"/>
  <c r="F6" i="1"/>
  <c r="B7" i="1"/>
  <c r="C7" i="1"/>
  <c r="D7" i="1"/>
  <c r="E7" i="1"/>
  <c r="F7" i="1"/>
  <c r="B8" i="1"/>
  <c r="C8" i="1"/>
  <c r="D8" i="1"/>
  <c r="E8" i="1"/>
  <c r="F8" i="1"/>
  <c r="B9" i="1"/>
  <c r="C9" i="1"/>
  <c r="D9" i="1"/>
  <c r="E9" i="1"/>
  <c r="F9" i="1"/>
  <c r="B10" i="1"/>
  <c r="C10" i="1"/>
  <c r="D10" i="1"/>
  <c r="E10" i="1"/>
  <c r="F10" i="1"/>
  <c r="B11" i="1"/>
  <c r="C11" i="1"/>
  <c r="D11" i="1"/>
  <c r="E11" i="1"/>
  <c r="F11" i="1"/>
  <c r="B12" i="1"/>
  <c r="C12" i="1"/>
  <c r="D12" i="1"/>
  <c r="E12" i="1"/>
  <c r="F12" i="1"/>
  <c r="B13" i="1"/>
  <c r="C13" i="1"/>
  <c r="D13" i="1"/>
  <c r="E13" i="1"/>
  <c r="F13" i="1"/>
  <c r="B14" i="1"/>
  <c r="C14" i="1"/>
  <c r="D14" i="1"/>
  <c r="E14" i="1"/>
  <c r="F14" i="1"/>
  <c r="B15" i="1"/>
  <c r="C15" i="1"/>
  <c r="D15" i="1"/>
  <c r="E15" i="1"/>
  <c r="F15" i="1"/>
  <c r="B6" i="4"/>
  <c r="C6" i="4"/>
  <c r="D6" i="4"/>
  <c r="E6" i="4"/>
  <c r="F6" i="4"/>
  <c r="B7" i="4"/>
  <c r="C7" i="4"/>
  <c r="D7" i="4"/>
  <c r="E7" i="4"/>
  <c r="F7" i="4"/>
  <c r="B8" i="4"/>
  <c r="C8" i="4"/>
  <c r="D8" i="4"/>
  <c r="E8" i="4"/>
  <c r="F8" i="4"/>
  <c r="B9" i="4"/>
  <c r="C9" i="4"/>
  <c r="D9" i="4"/>
  <c r="E9" i="4"/>
  <c r="F9" i="4"/>
  <c r="B10" i="4"/>
  <c r="C10" i="4"/>
  <c r="D10" i="4"/>
  <c r="E10" i="4"/>
  <c r="F10" i="4"/>
  <c r="B11" i="4"/>
  <c r="C11" i="4"/>
  <c r="D11" i="4"/>
  <c r="E11" i="4"/>
  <c r="F11" i="4"/>
  <c r="B12" i="4"/>
  <c r="C12" i="4"/>
  <c r="D12" i="4"/>
  <c r="E12" i="4"/>
  <c r="F12" i="4"/>
  <c r="B13" i="4"/>
  <c r="C13" i="4"/>
  <c r="D13" i="4"/>
  <c r="E13" i="4"/>
  <c r="F13" i="4"/>
  <c r="B14" i="4"/>
  <c r="C14" i="4"/>
  <c r="D14" i="4"/>
  <c r="E14" i="4"/>
  <c r="F14" i="4"/>
  <c r="B15" i="4"/>
  <c r="C15" i="4"/>
  <c r="D15" i="4"/>
  <c r="E15" i="4"/>
  <c r="F15" i="4"/>
  <c r="J19" i="6"/>
  <c r="O32" i="6" s="1"/>
  <c r="I19" i="6"/>
  <c r="O20" i="6" s="1"/>
  <c r="O34" i="4" l="1"/>
  <c r="E6" i="6"/>
  <c r="C6" i="6"/>
  <c r="F14" i="6"/>
  <c r="C13" i="6"/>
  <c r="E11" i="6"/>
  <c r="B10" i="6"/>
  <c r="D8" i="6"/>
  <c r="O22" i="1"/>
  <c r="D14" i="6"/>
  <c r="F12" i="6"/>
  <c r="C11" i="6"/>
  <c r="E9" i="6"/>
  <c r="B8" i="6"/>
  <c r="O31" i="6"/>
  <c r="O20" i="1"/>
  <c r="E15" i="6"/>
  <c r="B14" i="6"/>
  <c r="D12" i="6"/>
  <c r="F10" i="6"/>
  <c r="C9" i="6"/>
  <c r="E7" i="6"/>
  <c r="O26" i="1"/>
  <c r="O24" i="4"/>
  <c r="O31" i="4"/>
  <c r="B6" i="6"/>
  <c r="C15" i="6"/>
  <c r="E13" i="6"/>
  <c r="B12" i="6"/>
  <c r="D10" i="6"/>
  <c r="F8" i="6"/>
  <c r="H19" i="6"/>
  <c r="O19" i="6" s="1"/>
  <c r="O24" i="1"/>
  <c r="O28" i="1"/>
  <c r="O22" i="4"/>
  <c r="O34" i="1"/>
  <c r="O23" i="4"/>
  <c r="O28" i="4"/>
  <c r="C7" i="6"/>
  <c r="O25" i="4"/>
  <c r="H18" i="1"/>
  <c r="C29" i="1"/>
  <c r="C31" i="4"/>
  <c r="C22" i="1"/>
  <c r="K18" i="4"/>
  <c r="C34" i="4"/>
  <c r="C26" i="1"/>
  <c r="C25" i="1"/>
  <c r="C20" i="4"/>
  <c r="L18" i="4"/>
  <c r="I18" i="4"/>
  <c r="J18" i="1"/>
  <c r="C28" i="1"/>
  <c r="H18" i="4"/>
  <c r="C23" i="4"/>
  <c r="L18" i="1"/>
  <c r="C24" i="4"/>
  <c r="C26" i="4"/>
  <c r="C19" i="4"/>
  <c r="C32" i="1"/>
  <c r="O26" i="6"/>
  <c r="O22" i="6"/>
  <c r="O25" i="6"/>
  <c r="I18" i="1"/>
  <c r="C31" i="1"/>
  <c r="C23" i="1"/>
  <c r="J18" i="4"/>
  <c r="C29" i="4"/>
  <c r="C28" i="4"/>
  <c r="C25" i="4"/>
  <c r="K18" i="1"/>
  <c r="C35" i="1"/>
  <c r="C20" i="1"/>
  <c r="C19" i="1"/>
  <c r="C32" i="4"/>
  <c r="C22" i="4"/>
  <c r="C34" i="1"/>
  <c r="C35" i="4"/>
  <c r="C24" i="1"/>
  <c r="O23" i="1"/>
  <c r="O20" i="4"/>
  <c r="F6" i="6"/>
  <c r="D6" i="6"/>
  <c r="F15" i="6"/>
  <c r="D15" i="6"/>
  <c r="B15" i="6"/>
  <c r="E14" i="6"/>
  <c r="C14" i="6"/>
  <c r="F13" i="6"/>
  <c r="D13" i="6"/>
  <c r="B13" i="6"/>
  <c r="E12" i="6"/>
  <c r="C12" i="6"/>
  <c r="F11" i="6"/>
  <c r="D11" i="6"/>
  <c r="B11" i="6"/>
  <c r="E10" i="6"/>
  <c r="C10" i="6"/>
  <c r="F9" i="6"/>
  <c r="D9" i="6"/>
  <c r="B9" i="6"/>
  <c r="E8" i="6"/>
  <c r="C8" i="6"/>
  <c r="F7" i="6"/>
  <c r="D7" i="6"/>
  <c r="B7" i="6"/>
  <c r="K19" i="6"/>
  <c r="J18" i="6" l="1"/>
  <c r="L18" i="6"/>
  <c r="C35" i="6"/>
  <c r="C29" i="6"/>
  <c r="C24" i="6"/>
  <c r="C19" i="6"/>
  <c r="O24" i="6"/>
  <c r="O34" i="6"/>
  <c r="O23" i="6"/>
  <c r="O28" i="6"/>
  <c r="O35" i="6"/>
  <c r="I18" i="6"/>
  <c r="C34" i="6"/>
  <c r="C31" i="6"/>
  <c r="C28" i="6"/>
  <c r="C25" i="6"/>
  <c r="C23" i="6"/>
  <c r="C20" i="6"/>
  <c r="K18" i="6"/>
  <c r="H18" i="6"/>
  <c r="C32" i="6"/>
  <c r="C26" i="6"/>
  <c r="C22" i="6"/>
</calcChain>
</file>

<file path=xl/sharedStrings.xml><?xml version="1.0" encoding="utf-8"?>
<sst xmlns="http://schemas.openxmlformats.org/spreadsheetml/2006/main" count="140" uniqueCount="26">
  <si>
    <t>Mean</t>
  </si>
  <si>
    <t>St. Dev.</t>
  </si>
  <si>
    <t>Sample of 50 Items</t>
  </si>
  <si>
    <t>Min</t>
  </si>
  <si>
    <t>Q1</t>
  </si>
  <si>
    <t>Q3</t>
  </si>
  <si>
    <t>Max</t>
  </si>
  <si>
    <t>Q2</t>
  </si>
  <si>
    <t>X</t>
  </si>
  <si>
    <t>Y</t>
  </si>
  <si>
    <t>Item</t>
  </si>
  <si>
    <t>Expected</t>
  </si>
  <si>
    <t>Sample</t>
  </si>
  <si>
    <t>Sample Box Plot Setup</t>
  </si>
  <si>
    <t>Slight</t>
  </si>
  <si>
    <t>Medium</t>
  </si>
  <si>
    <t>D.F.</t>
  </si>
  <si>
    <t>Control</t>
  </si>
  <si>
    <t>Degree of Skewness</t>
  </si>
  <si>
    <t>Expected Box Plot Setup</t>
  </si>
  <si>
    <t>Strong</t>
  </si>
  <si>
    <t>Normal Population</t>
  </si>
  <si>
    <t>Population</t>
  </si>
  <si>
    <t>Uniform Population</t>
  </si>
  <si>
    <t>Skewed Population</t>
  </si>
  <si>
    <t>What Is a Boxplot?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</si>
</sst>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0"/>
      <name val="Arial"/>
    </font>
    <font>
      <sz val="9"/>
      <name val="Arial"/>
      <family val="2"/>
    </font>
    <font>
      <sz val="10"/>
      <color theme="1"/>
      <name val="Arial"/>
      <family val="2"/>
    </font>
    <font>
      <b/>
      <i/>
      <sz val="12"/>
      <color rgb="FF003399"/>
      <name val="Arial"/>
      <family val="2"/>
    </font>
    <font>
      <b/>
      <i/>
      <sz val="10"/>
      <color rgb="FF003399"/>
      <name val="Arial"/>
      <family val="2"/>
    </font>
    <font>
      <b/>
      <i/>
      <sz val="10"/>
      <color theme="0"/>
      <name val="Arial"/>
      <family val="2"/>
    </font>
    <font>
      <b/>
      <i/>
      <sz val="12"/>
      <color theme="4" tint="-0.249977111117893"/>
      <name val="Arial"/>
      <family val="2"/>
    </font>
    <font>
      <i/>
      <sz val="10"/>
      <color theme="1"/>
      <name val="Arial"/>
      <family val="2"/>
    </font>
  </fonts>
  <fills count="4">
    <fill>
      <patternFill patternType="none"/>
    </fill>
    <fill>
      <patternFill patternType="gray125"/>
    </fill>
    <fill>
      <patternFill patternType="solid">
        <fgColor theme="0"/>
        <bgColor indexed="64"/>
      </patternFill>
    </fill>
    <fill>
      <patternFill patternType="solid">
        <fgColor theme="3" tint="0.39997558519241921"/>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indexed="64"/>
      </right>
      <top style="thin">
        <color indexed="64"/>
      </top>
      <bottom style="thin">
        <color theme="1"/>
      </bottom>
      <diagonal/>
    </border>
  </borders>
  <cellStyleXfs count="1">
    <xf numFmtId="0" fontId="0" fillId="0" borderId="0"/>
  </cellStyleXfs>
  <cellXfs count="63">
    <xf numFmtId="0" fontId="0" fillId="0" borderId="0" xfId="0"/>
    <xf numFmtId="0" fontId="0" fillId="0" borderId="0" xfId="0" applyProtection="1">
      <protection locked="0"/>
    </xf>
    <xf numFmtId="2" fontId="0" fillId="0" borderId="0" xfId="0" applyNumberFormat="1" applyFill="1" applyBorder="1" applyAlignment="1" applyProtection="1">
      <alignment horizontal="center"/>
      <protection locked="0"/>
    </xf>
    <xf numFmtId="164" fontId="0" fillId="0" borderId="0" xfId="0" applyNumberFormat="1" applyProtection="1">
      <protection locked="0"/>
    </xf>
    <xf numFmtId="0" fontId="0" fillId="0" borderId="0" xfId="0" applyBorder="1" applyAlignment="1">
      <alignment horizontal="center"/>
    </xf>
    <xf numFmtId="0" fontId="1" fillId="0" borderId="0" xfId="0" applyFont="1" applyBorder="1" applyAlignment="1" applyProtection="1">
      <alignment horizontal="center" vertical="center" wrapText="1"/>
      <protection locked="0"/>
    </xf>
    <xf numFmtId="0" fontId="0" fillId="0" borderId="0" xfId="0" applyProtection="1"/>
    <xf numFmtId="2" fontId="0" fillId="2" borderId="0" xfId="0" applyNumberFormat="1" applyFill="1" applyBorder="1" applyAlignment="1" applyProtection="1">
      <alignment horizontal="center"/>
    </xf>
    <xf numFmtId="1" fontId="0" fillId="0" borderId="0" xfId="0" applyNumberFormat="1" applyFill="1" applyBorder="1" applyAlignment="1" applyProtection="1">
      <alignment horizontal="center"/>
    </xf>
    <xf numFmtId="0" fontId="0" fillId="0" borderId="0" xfId="0" applyFill="1" applyProtection="1">
      <protection locked="0"/>
    </xf>
    <xf numFmtId="0" fontId="0" fillId="0" borderId="1" xfId="0" applyFill="1" applyBorder="1" applyAlignment="1" applyProtection="1">
      <alignment horizontal="center"/>
    </xf>
    <xf numFmtId="0" fontId="0" fillId="0" borderId="2" xfId="0" applyFill="1" applyBorder="1" applyAlignment="1" applyProtection="1">
      <alignment horizontal="center"/>
    </xf>
    <xf numFmtId="0" fontId="0" fillId="0" borderId="3" xfId="0" applyFill="1" applyBorder="1" applyAlignment="1" applyProtection="1">
      <alignment horizontal="center"/>
    </xf>
    <xf numFmtId="0" fontId="0" fillId="0" borderId="4" xfId="0" applyFill="1" applyBorder="1" applyAlignment="1" applyProtection="1">
      <alignment horizontal="center"/>
    </xf>
    <xf numFmtId="0" fontId="0" fillId="0" borderId="5" xfId="0" applyFill="1" applyBorder="1" applyAlignment="1" applyProtection="1">
      <alignment horizontal="center"/>
    </xf>
    <xf numFmtId="0" fontId="0" fillId="0" borderId="6" xfId="0" applyFill="1" applyBorder="1" applyAlignment="1" applyProtection="1">
      <alignment horizontal="center"/>
    </xf>
    <xf numFmtId="1" fontId="0" fillId="0" borderId="7" xfId="0" applyNumberFormat="1" applyFill="1" applyBorder="1" applyAlignment="1" applyProtection="1">
      <alignment horizontal="center"/>
    </xf>
    <xf numFmtId="0" fontId="0" fillId="0" borderId="8" xfId="0" applyFill="1" applyBorder="1" applyAlignment="1" applyProtection="1">
      <alignment horizontal="center"/>
    </xf>
    <xf numFmtId="0" fontId="0" fillId="2" borderId="1" xfId="0" applyFill="1" applyBorder="1" applyAlignment="1" applyProtection="1">
      <alignment horizontal="center"/>
    </xf>
    <xf numFmtId="0" fontId="0" fillId="2" borderId="2" xfId="0" applyFill="1" applyBorder="1" applyAlignment="1" applyProtection="1">
      <alignment horizontal="center"/>
    </xf>
    <xf numFmtId="0" fontId="0" fillId="2" borderId="3" xfId="0" applyFill="1" applyBorder="1" applyAlignment="1" applyProtection="1">
      <alignment horizontal="center"/>
    </xf>
    <xf numFmtId="0" fontId="0" fillId="2" borderId="4" xfId="0" applyFill="1" applyBorder="1" applyAlignment="1" applyProtection="1">
      <alignment horizontal="center"/>
    </xf>
    <xf numFmtId="1" fontId="0" fillId="2" borderId="0" xfId="0" applyNumberFormat="1" applyFill="1" applyBorder="1" applyAlignment="1" applyProtection="1">
      <alignment horizontal="center"/>
    </xf>
    <xf numFmtId="0" fontId="0" fillId="2" borderId="5" xfId="0" applyFill="1" applyBorder="1" applyAlignment="1" applyProtection="1">
      <alignment horizontal="center"/>
    </xf>
    <xf numFmtId="0" fontId="0" fillId="2" borderId="6" xfId="0" applyFill="1" applyBorder="1" applyAlignment="1" applyProtection="1">
      <alignment horizontal="center"/>
    </xf>
    <xf numFmtId="1" fontId="0" fillId="2" borderId="7" xfId="0" applyNumberFormat="1" applyFill="1" applyBorder="1" applyAlignment="1" applyProtection="1">
      <alignment horizontal="center"/>
    </xf>
    <xf numFmtId="0" fontId="0" fillId="2" borderId="8" xfId="0" applyFill="1" applyBorder="1" applyAlignment="1" applyProtection="1">
      <alignment horizontal="center"/>
    </xf>
    <xf numFmtId="2" fontId="0" fillId="2" borderId="5" xfId="0" applyNumberFormat="1" applyFill="1" applyBorder="1" applyAlignment="1" applyProtection="1">
      <alignment horizontal="center"/>
    </xf>
    <xf numFmtId="2" fontId="0" fillId="2" borderId="7" xfId="0" applyNumberFormat="1" applyFill="1" applyBorder="1" applyAlignment="1" applyProtection="1">
      <alignment horizontal="center"/>
    </xf>
    <xf numFmtId="2" fontId="0" fillId="2" borderId="8" xfId="0" applyNumberFormat="1" applyFill="1" applyBorder="1" applyAlignment="1" applyProtection="1">
      <alignment horizontal="center"/>
    </xf>
    <xf numFmtId="0" fontId="0" fillId="0" borderId="0" xfId="0" applyFill="1" applyBorder="1" applyProtection="1"/>
    <xf numFmtId="2" fontId="0" fillId="0" borderId="12" xfId="0" applyNumberFormat="1" applyFill="1" applyBorder="1" applyAlignment="1" applyProtection="1">
      <alignment horizontal="center"/>
    </xf>
    <xf numFmtId="2" fontId="0" fillId="2" borderId="4" xfId="0" applyNumberFormat="1" applyFill="1" applyBorder="1" applyAlignment="1" applyProtection="1">
      <alignment horizontal="center"/>
    </xf>
    <xf numFmtId="2" fontId="0" fillId="2" borderId="6" xfId="0" applyNumberFormat="1" applyFill="1" applyBorder="1" applyAlignment="1" applyProtection="1">
      <alignment horizontal="center"/>
    </xf>
    <xf numFmtId="2" fontId="0" fillId="2" borderId="13" xfId="0" applyNumberFormat="1" applyFill="1" applyBorder="1" applyAlignment="1" applyProtection="1">
      <alignment horizontal="center"/>
    </xf>
    <xf numFmtId="2" fontId="0" fillId="2" borderId="14" xfId="0" applyNumberFormat="1" applyFill="1" applyBorder="1" applyAlignment="1" applyProtection="1">
      <alignment horizontal="center"/>
    </xf>
    <xf numFmtId="2" fontId="0" fillId="2" borderId="15" xfId="0" applyNumberFormat="1" applyFill="1" applyBorder="1" applyAlignment="1" applyProtection="1">
      <alignment horizontal="center"/>
    </xf>
    <xf numFmtId="2" fontId="0" fillId="2" borderId="16" xfId="0" applyNumberFormat="1" applyFill="1" applyBorder="1" applyAlignment="1" applyProtection="1">
      <alignment horizontal="center"/>
    </xf>
    <xf numFmtId="2" fontId="0" fillId="2" borderId="17" xfId="0" applyNumberFormat="1" applyFill="1" applyBorder="1" applyAlignment="1" applyProtection="1">
      <alignment horizontal="center"/>
    </xf>
    <xf numFmtId="2" fontId="0" fillId="2" borderId="18" xfId="0" applyNumberFormat="1" applyFill="1" applyBorder="1" applyAlignment="1" applyProtection="1">
      <alignment horizontal="center"/>
    </xf>
    <xf numFmtId="2" fontId="0" fillId="2" borderId="19" xfId="0" applyNumberFormat="1" applyFill="1" applyBorder="1" applyAlignment="1" applyProtection="1">
      <alignment horizontal="center"/>
    </xf>
    <xf numFmtId="2" fontId="0" fillId="2" borderId="20" xfId="0" applyNumberFormat="1" applyFill="1" applyBorder="1" applyAlignment="1" applyProtection="1">
      <alignment horizontal="center"/>
    </xf>
    <xf numFmtId="2" fontId="0" fillId="2" borderId="1" xfId="0" applyNumberFormat="1" applyFill="1" applyBorder="1" applyAlignment="1" applyProtection="1">
      <alignment horizontal="center"/>
    </xf>
    <xf numFmtId="2" fontId="0" fillId="2" borderId="2" xfId="0" applyNumberFormat="1" applyFill="1" applyBorder="1" applyAlignment="1" applyProtection="1">
      <alignment horizontal="center"/>
    </xf>
    <xf numFmtId="2" fontId="0" fillId="2" borderId="3" xfId="0" applyNumberFormat="1" applyFill="1" applyBorder="1" applyAlignment="1" applyProtection="1">
      <alignment horizontal="center"/>
    </xf>
    <xf numFmtId="0" fontId="3" fillId="0" borderId="0" xfId="0" applyFont="1" applyProtection="1">
      <protection locked="0"/>
    </xf>
    <xf numFmtId="0" fontId="2" fillId="0" borderId="0" xfId="0" applyFont="1" applyProtection="1">
      <protection locked="0"/>
    </xf>
    <xf numFmtId="0" fontId="6" fillId="0" borderId="0" xfId="0" applyFont="1" applyProtection="1">
      <protection locked="0"/>
    </xf>
    <xf numFmtId="0" fontId="7" fillId="0" borderId="0" xfId="0" applyFont="1" applyFill="1" applyBorder="1" applyAlignment="1" applyProtection="1">
      <alignment horizontal="right"/>
    </xf>
    <xf numFmtId="0" fontId="7" fillId="0" borderId="0" xfId="0" applyFont="1" applyFill="1" applyBorder="1" applyAlignment="1" applyProtection="1">
      <alignment horizontal="center"/>
    </xf>
    <xf numFmtId="0" fontId="7" fillId="0" borderId="0" xfId="0" applyFont="1" applyFill="1" applyBorder="1" applyAlignment="1" applyProtection="1">
      <alignment horizontal="left"/>
    </xf>
    <xf numFmtId="0" fontId="5" fillId="3" borderId="9" xfId="0" applyFont="1" applyFill="1" applyBorder="1" applyAlignment="1" applyProtection="1">
      <alignment horizontal="center"/>
    </xf>
    <xf numFmtId="0" fontId="5" fillId="3" borderId="10" xfId="0" applyFont="1" applyFill="1" applyBorder="1" applyAlignment="1" applyProtection="1">
      <alignment horizontal="center"/>
    </xf>
    <xf numFmtId="0" fontId="5" fillId="3" borderId="11" xfId="0" applyFont="1" applyFill="1" applyBorder="1" applyAlignment="1" applyProtection="1">
      <alignment horizontal="center"/>
    </xf>
    <xf numFmtId="0" fontId="5" fillId="3" borderId="21" xfId="0" applyFont="1" applyFill="1" applyBorder="1" applyAlignment="1" applyProtection="1">
      <alignment horizontal="center"/>
      <protection locked="0"/>
    </xf>
    <xf numFmtId="0" fontId="5" fillId="3" borderId="22" xfId="0" applyFont="1" applyFill="1" applyBorder="1" applyAlignment="1" applyProtection="1">
      <alignment horizontal="center"/>
      <protection locked="0"/>
    </xf>
    <xf numFmtId="0" fontId="5" fillId="3" borderId="23" xfId="0" applyFont="1" applyFill="1" applyBorder="1" applyAlignment="1" applyProtection="1">
      <alignment horizontal="center"/>
      <protection locked="0"/>
    </xf>
    <xf numFmtId="0" fontId="6" fillId="0" borderId="0" xfId="0" applyFont="1" applyBorder="1" applyAlignment="1" applyProtection="1">
      <alignment horizontal="center" vertical="center"/>
    </xf>
    <xf numFmtId="0" fontId="6" fillId="0" borderId="0" xfId="0" applyFont="1" applyBorder="1" applyAlignment="1" applyProtection="1">
      <alignment horizontal="center" vertical="center"/>
      <protection locked="0"/>
    </xf>
    <xf numFmtId="0" fontId="5" fillId="3" borderId="9" xfId="0" applyFont="1" applyFill="1" applyBorder="1" applyAlignment="1" applyProtection="1">
      <alignment horizontal="center"/>
      <protection locked="0"/>
    </xf>
    <xf numFmtId="0" fontId="5" fillId="3" borderId="10" xfId="0" applyFont="1" applyFill="1" applyBorder="1" applyAlignment="1" applyProtection="1">
      <alignment horizontal="center"/>
      <protection locked="0"/>
    </xf>
    <xf numFmtId="0" fontId="5" fillId="3" borderId="11" xfId="0" applyFont="1" applyFill="1" applyBorder="1" applyAlignment="1" applyProtection="1">
      <alignment horizontal="center"/>
      <protection locked="0"/>
    </xf>
    <xf numFmtId="0" fontId="4" fillId="0" borderId="0" xfId="0" applyFont="1" applyBorder="1" applyAlignment="1" applyProtection="1">
      <alignment horizontal="center" vertical="center" wrapText="1"/>
      <protection locked="0"/>
    </xf>
  </cellXfs>
  <cellStyles count="1">
    <cellStyle name="Normal" xfId="0" builtinId="0"/>
  </cellStyles>
  <dxfs count="1">
    <dxf>
      <fill>
        <patternFill>
          <bgColor indexed="10"/>
        </patternFill>
      </fill>
    </dxf>
  </dxfs>
  <tableStyles count="0" defaultTableStyle="TableStyleMedium9" defaultPivotStyle="PivotStyleLight16"/>
  <colors>
    <mruColors>
      <color rgb="FF0000CC"/>
      <color rgb="FF003399"/>
      <color rgb="FFC8FAE1"/>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301097525410954E-2"/>
          <c:y val="6.1224702284115314E-2"/>
          <c:w val="0.82927048735626097"/>
          <c:h val="0.77142857142857146"/>
        </c:manualLayout>
      </c:layout>
      <c:scatterChart>
        <c:scatterStyle val="lineMarker"/>
        <c:varyColors val="0"/>
        <c:ser>
          <c:idx val="0"/>
          <c:order val="0"/>
          <c:tx>
            <c:v>Sample</c:v>
          </c:tx>
          <c:spPr>
            <a:ln w="12700">
              <a:solidFill>
                <a:srgbClr val="FF0000"/>
              </a:solidFill>
              <a:prstDash val="solid"/>
            </a:ln>
          </c:spPr>
          <c:marker>
            <c:symbol val="none"/>
          </c:marker>
          <c:xVal>
            <c:numRef>
              <c:f>Normal!$C$19:$C$35</c:f>
              <c:numCache>
                <c:formatCode>0</c:formatCode>
                <c:ptCount val="17"/>
                <c:pt idx="0">
                  <c:v>24.246220935560153</c:v>
                </c:pt>
                <c:pt idx="1">
                  <c:v>35.860980083951347</c:v>
                </c:pt>
                <c:pt idx="3">
                  <c:v>35.860980083951347</c:v>
                </c:pt>
                <c:pt idx="4">
                  <c:v>59.991898741232824</c:v>
                </c:pt>
                <c:pt idx="5">
                  <c:v>59.991898741232824</c:v>
                </c:pt>
                <c:pt idx="6">
                  <c:v>35.860980083951347</c:v>
                </c:pt>
                <c:pt idx="7">
                  <c:v>35.860980083951347</c:v>
                </c:pt>
                <c:pt idx="9">
                  <c:v>59.991898741232824</c:v>
                </c:pt>
                <c:pt idx="10">
                  <c:v>72.761466822404998</c:v>
                </c:pt>
                <c:pt idx="12">
                  <c:v>49.343585952964716</c:v>
                </c:pt>
                <c:pt idx="13">
                  <c:v>49.343585952964716</c:v>
                </c:pt>
                <c:pt idx="15">
                  <c:v>59.991898741232824</c:v>
                </c:pt>
                <c:pt idx="16">
                  <c:v>59.991898741232824</c:v>
                </c:pt>
              </c:numCache>
            </c:numRef>
          </c:xVal>
          <c:yVal>
            <c:numRef>
              <c:f>Normal!$D$19:$D$35</c:f>
              <c:numCache>
                <c:formatCode>General</c:formatCode>
                <c:ptCount val="17"/>
                <c:pt idx="0">
                  <c:v>1.5</c:v>
                </c:pt>
                <c:pt idx="1">
                  <c:v>1.5</c:v>
                </c:pt>
                <c:pt idx="3">
                  <c:v>2.5</c:v>
                </c:pt>
                <c:pt idx="4">
                  <c:v>2.5</c:v>
                </c:pt>
                <c:pt idx="5">
                  <c:v>0.5</c:v>
                </c:pt>
                <c:pt idx="6">
                  <c:v>0.5</c:v>
                </c:pt>
                <c:pt idx="7">
                  <c:v>2.5</c:v>
                </c:pt>
                <c:pt idx="9">
                  <c:v>1.5</c:v>
                </c:pt>
                <c:pt idx="10">
                  <c:v>1.5</c:v>
                </c:pt>
                <c:pt idx="12">
                  <c:v>0.5</c:v>
                </c:pt>
                <c:pt idx="13">
                  <c:v>2.5</c:v>
                </c:pt>
                <c:pt idx="15">
                  <c:v>2.5</c:v>
                </c:pt>
                <c:pt idx="16">
                  <c:v>0.5</c:v>
                </c:pt>
              </c:numCache>
            </c:numRef>
          </c:yVal>
          <c:smooth val="0"/>
          <c:extLst>
            <c:ext xmlns:c16="http://schemas.microsoft.com/office/drawing/2014/chart" uri="{C3380CC4-5D6E-409C-BE32-E72D297353CC}">
              <c16:uniqueId val="{00000000-928A-4CF8-A1D7-20C2B9DB5F3E}"/>
            </c:ext>
          </c:extLst>
        </c:ser>
        <c:ser>
          <c:idx val="1"/>
          <c:order val="1"/>
          <c:tx>
            <c:v>Normal</c:v>
          </c:tx>
          <c:spPr>
            <a:ln w="12700">
              <a:solidFill>
                <a:srgbClr val="0000FF"/>
              </a:solidFill>
              <a:prstDash val="solid"/>
            </a:ln>
          </c:spPr>
          <c:marker>
            <c:symbol val="none"/>
          </c:marker>
          <c:xVal>
            <c:numRef>
              <c:f>Normal!$O$19:$O$35</c:f>
              <c:numCache>
                <c:formatCode>0</c:formatCode>
                <c:ptCount val="17"/>
                <c:pt idx="0">
                  <c:v>15.10478188938739</c:v>
                </c:pt>
                <c:pt idx="1">
                  <c:v>39.875</c:v>
                </c:pt>
                <c:pt idx="3">
                  <c:v>39.875</c:v>
                </c:pt>
                <c:pt idx="4">
                  <c:v>60.125</c:v>
                </c:pt>
                <c:pt idx="5">
                  <c:v>60.125</c:v>
                </c:pt>
                <c:pt idx="6">
                  <c:v>39.875</c:v>
                </c:pt>
                <c:pt idx="7">
                  <c:v>39.875</c:v>
                </c:pt>
                <c:pt idx="9">
                  <c:v>60.125</c:v>
                </c:pt>
                <c:pt idx="10">
                  <c:v>84.895218110612603</c:v>
                </c:pt>
                <c:pt idx="12">
                  <c:v>50</c:v>
                </c:pt>
                <c:pt idx="13">
                  <c:v>50</c:v>
                </c:pt>
                <c:pt idx="15">
                  <c:v>60.125</c:v>
                </c:pt>
                <c:pt idx="16">
                  <c:v>60.125</c:v>
                </c:pt>
              </c:numCache>
            </c:numRef>
          </c:xVal>
          <c:yVal>
            <c:numRef>
              <c:f>Normal!$P$19:$P$35</c:f>
              <c:numCache>
                <c:formatCode>General</c:formatCode>
                <c:ptCount val="17"/>
                <c:pt idx="0">
                  <c:v>4.5</c:v>
                </c:pt>
                <c:pt idx="1">
                  <c:v>4.5</c:v>
                </c:pt>
                <c:pt idx="3">
                  <c:v>5.5</c:v>
                </c:pt>
                <c:pt idx="4">
                  <c:v>5.5</c:v>
                </c:pt>
                <c:pt idx="5">
                  <c:v>3.5</c:v>
                </c:pt>
                <c:pt idx="6">
                  <c:v>3.5</c:v>
                </c:pt>
                <c:pt idx="7">
                  <c:v>5.5</c:v>
                </c:pt>
                <c:pt idx="9">
                  <c:v>4.5</c:v>
                </c:pt>
                <c:pt idx="10">
                  <c:v>4.5</c:v>
                </c:pt>
                <c:pt idx="11">
                  <c:v>3</c:v>
                </c:pt>
                <c:pt idx="12">
                  <c:v>3.5</c:v>
                </c:pt>
                <c:pt idx="13">
                  <c:v>5.5</c:v>
                </c:pt>
                <c:pt idx="15">
                  <c:v>5.5</c:v>
                </c:pt>
                <c:pt idx="16">
                  <c:v>3.5</c:v>
                </c:pt>
              </c:numCache>
            </c:numRef>
          </c:yVal>
          <c:smooth val="0"/>
          <c:extLst>
            <c:ext xmlns:c16="http://schemas.microsoft.com/office/drawing/2014/chart" uri="{C3380CC4-5D6E-409C-BE32-E72D297353CC}">
              <c16:uniqueId val="{00000001-928A-4CF8-A1D7-20C2B9DB5F3E}"/>
            </c:ext>
          </c:extLst>
        </c:ser>
        <c:dLbls>
          <c:showLegendKey val="0"/>
          <c:showVal val="0"/>
          <c:showCatName val="0"/>
          <c:showSerName val="0"/>
          <c:showPercent val="0"/>
          <c:showBubbleSize val="0"/>
        </c:dLbls>
        <c:axId val="154974080"/>
        <c:axId val="154975616"/>
      </c:scatterChart>
      <c:valAx>
        <c:axId val="154974080"/>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a:pPr>
            <a:endParaRPr lang="en-US"/>
          </a:p>
        </c:txPr>
        <c:crossAx val="154975616"/>
        <c:crosses val="autoZero"/>
        <c:crossBetween val="midCat"/>
      </c:valAx>
      <c:valAx>
        <c:axId val="154975616"/>
        <c:scaling>
          <c:orientation val="minMax"/>
        </c:scaling>
        <c:delete val="0"/>
        <c:axPos val="l"/>
        <c:numFmt formatCode="General" sourceLinked="1"/>
        <c:majorTickMark val="none"/>
        <c:minorTickMark val="none"/>
        <c:tickLblPos val="none"/>
        <c:spPr>
          <a:ln w="9525">
            <a:noFill/>
          </a:ln>
        </c:spPr>
        <c:crossAx val="154974080"/>
        <c:crosses val="autoZero"/>
        <c:crossBetween val="midCat"/>
      </c:valAx>
      <c:spPr>
        <a:solidFill>
          <a:srgbClr val="FFFFFF"/>
        </a:solidFill>
        <a:ln w="3175">
          <a:solidFill>
            <a:srgbClr val="000000"/>
          </a:solidFill>
          <a:prstDash val="solid"/>
        </a:ln>
      </c:spPr>
    </c:plotArea>
    <c:plotVisOnly val="1"/>
    <c:dispBlanksAs val="gap"/>
    <c:showDLblsOverMax val="0"/>
  </c:chart>
  <c:spPr>
    <a:solidFill>
      <a:schemeClr val="tx2">
        <a:lumMod val="20000"/>
        <a:lumOff val="80000"/>
      </a:schemeClr>
    </a:solidFill>
    <a:ln w="3175">
      <a:solidFill>
        <a:srgbClr val="000000"/>
      </a:solidFill>
      <a:prstDash val="solid"/>
    </a:ln>
  </c:spPr>
  <c:txPr>
    <a:bodyPr/>
    <a:lstStyle/>
    <a:p>
      <a:pPr>
        <a:defRPr sz="975" b="0" i="0" u="none" strike="noStrike" baseline="0">
          <a:solidFill>
            <a:schemeClr val="tx1"/>
          </a:solidFill>
          <a:latin typeface="Arial"/>
          <a:ea typeface="Arial"/>
          <a:cs typeface="Arial"/>
        </a:defRPr>
      </a:pPr>
      <a:endParaRPr lang="en-US"/>
    </a:p>
  </c:txPr>
  <c:printSettings>
    <c:headerFooter alignWithMargins="0"/>
    <c:pageMargins b="1" l="0.75" r="0.75" t="1" header="0.5" footer="0.5"/>
    <c:pageSetup orientation="landscape" horizontalDpi="0" verticalDpi="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0460891082558125E-2"/>
          <c:y val="6.1224489795918366E-2"/>
          <c:w val="0.86179089862513403"/>
          <c:h val="0.77142857142857146"/>
        </c:manualLayout>
      </c:layout>
      <c:scatterChart>
        <c:scatterStyle val="lineMarker"/>
        <c:varyColors val="0"/>
        <c:ser>
          <c:idx val="0"/>
          <c:order val="0"/>
          <c:tx>
            <c:v>Sample</c:v>
          </c:tx>
          <c:spPr>
            <a:ln w="12700">
              <a:solidFill>
                <a:srgbClr val="FF0000"/>
              </a:solidFill>
              <a:prstDash val="solid"/>
            </a:ln>
          </c:spPr>
          <c:marker>
            <c:symbol val="none"/>
          </c:marker>
          <c:xVal>
            <c:numRef>
              <c:f>Uniform!$C$19:$C$35</c:f>
              <c:numCache>
                <c:formatCode>0</c:formatCode>
                <c:ptCount val="17"/>
                <c:pt idx="0">
                  <c:v>17.461042425667131</c:v>
                </c:pt>
                <c:pt idx="1">
                  <c:v>33.712953019371767</c:v>
                </c:pt>
                <c:pt idx="3">
                  <c:v>33.712953019371767</c:v>
                </c:pt>
                <c:pt idx="4">
                  <c:v>61.598339174639932</c:v>
                </c:pt>
                <c:pt idx="5">
                  <c:v>61.598339174639932</c:v>
                </c:pt>
                <c:pt idx="6">
                  <c:v>33.712953019371767</c:v>
                </c:pt>
                <c:pt idx="7">
                  <c:v>33.712953019371767</c:v>
                </c:pt>
                <c:pt idx="9">
                  <c:v>61.598339174639932</c:v>
                </c:pt>
                <c:pt idx="10">
                  <c:v>83.731460391043655</c:v>
                </c:pt>
                <c:pt idx="12">
                  <c:v>46.172888281711309</c:v>
                </c:pt>
                <c:pt idx="13">
                  <c:v>46.172888281711309</c:v>
                </c:pt>
                <c:pt idx="15">
                  <c:v>61.598339174639932</c:v>
                </c:pt>
                <c:pt idx="16">
                  <c:v>61.598339174639932</c:v>
                </c:pt>
              </c:numCache>
            </c:numRef>
          </c:xVal>
          <c:yVal>
            <c:numRef>
              <c:f>Uniform!$D$19:$D$35</c:f>
              <c:numCache>
                <c:formatCode>General</c:formatCode>
                <c:ptCount val="17"/>
                <c:pt idx="0">
                  <c:v>1.5</c:v>
                </c:pt>
                <c:pt idx="1">
                  <c:v>1.5</c:v>
                </c:pt>
                <c:pt idx="3">
                  <c:v>2.5</c:v>
                </c:pt>
                <c:pt idx="4">
                  <c:v>2.5</c:v>
                </c:pt>
                <c:pt idx="5">
                  <c:v>0.5</c:v>
                </c:pt>
                <c:pt idx="6">
                  <c:v>0.5</c:v>
                </c:pt>
                <c:pt idx="7">
                  <c:v>2.5</c:v>
                </c:pt>
                <c:pt idx="9">
                  <c:v>1.5</c:v>
                </c:pt>
                <c:pt idx="10">
                  <c:v>1.5</c:v>
                </c:pt>
                <c:pt idx="12">
                  <c:v>0.5</c:v>
                </c:pt>
                <c:pt idx="13">
                  <c:v>2.5</c:v>
                </c:pt>
                <c:pt idx="15">
                  <c:v>2.5</c:v>
                </c:pt>
                <c:pt idx="16">
                  <c:v>0.5</c:v>
                </c:pt>
              </c:numCache>
            </c:numRef>
          </c:yVal>
          <c:smooth val="0"/>
          <c:extLst>
            <c:ext xmlns:c16="http://schemas.microsoft.com/office/drawing/2014/chart" uri="{C3380CC4-5D6E-409C-BE32-E72D297353CC}">
              <c16:uniqueId val="{00000000-2664-4E3A-A6E8-FBDF5D08C24F}"/>
            </c:ext>
          </c:extLst>
        </c:ser>
        <c:ser>
          <c:idx val="1"/>
          <c:order val="1"/>
          <c:tx>
            <c:v>Uniform</c:v>
          </c:tx>
          <c:spPr>
            <a:ln w="12700">
              <a:solidFill>
                <a:srgbClr val="0000FF"/>
              </a:solidFill>
              <a:prstDash val="solid"/>
            </a:ln>
          </c:spPr>
          <c:marker>
            <c:symbol val="none"/>
          </c:marker>
          <c:xVal>
            <c:numRef>
              <c:f>Uniform!$O$19:$O$35</c:f>
              <c:numCache>
                <c:formatCode>0</c:formatCode>
                <c:ptCount val="17"/>
                <c:pt idx="0">
                  <c:v>16</c:v>
                </c:pt>
                <c:pt idx="1">
                  <c:v>33.25</c:v>
                </c:pt>
                <c:pt idx="3">
                  <c:v>33.25</c:v>
                </c:pt>
                <c:pt idx="4">
                  <c:v>67.75</c:v>
                </c:pt>
                <c:pt idx="5">
                  <c:v>67.75</c:v>
                </c:pt>
                <c:pt idx="6">
                  <c:v>33.25</c:v>
                </c:pt>
                <c:pt idx="7">
                  <c:v>33.25</c:v>
                </c:pt>
                <c:pt idx="9">
                  <c:v>67.75</c:v>
                </c:pt>
                <c:pt idx="10">
                  <c:v>85</c:v>
                </c:pt>
                <c:pt idx="12">
                  <c:v>50.5</c:v>
                </c:pt>
                <c:pt idx="13">
                  <c:v>50.5</c:v>
                </c:pt>
                <c:pt idx="15">
                  <c:v>67.75</c:v>
                </c:pt>
                <c:pt idx="16">
                  <c:v>67.75</c:v>
                </c:pt>
              </c:numCache>
            </c:numRef>
          </c:xVal>
          <c:yVal>
            <c:numRef>
              <c:f>Uniform!$P$19:$P$35</c:f>
              <c:numCache>
                <c:formatCode>General</c:formatCode>
                <c:ptCount val="17"/>
                <c:pt idx="0">
                  <c:v>4.5</c:v>
                </c:pt>
                <c:pt idx="1">
                  <c:v>4.5</c:v>
                </c:pt>
                <c:pt idx="3">
                  <c:v>5.5</c:v>
                </c:pt>
                <c:pt idx="4">
                  <c:v>5.5</c:v>
                </c:pt>
                <c:pt idx="5">
                  <c:v>3.5</c:v>
                </c:pt>
                <c:pt idx="6">
                  <c:v>3.5</c:v>
                </c:pt>
                <c:pt idx="7">
                  <c:v>5.5</c:v>
                </c:pt>
                <c:pt idx="9">
                  <c:v>4.5</c:v>
                </c:pt>
                <c:pt idx="10">
                  <c:v>4.5</c:v>
                </c:pt>
                <c:pt idx="11">
                  <c:v>3</c:v>
                </c:pt>
                <c:pt idx="12">
                  <c:v>3.5</c:v>
                </c:pt>
                <c:pt idx="13">
                  <c:v>5.5</c:v>
                </c:pt>
                <c:pt idx="15">
                  <c:v>5.5</c:v>
                </c:pt>
                <c:pt idx="16">
                  <c:v>3.5</c:v>
                </c:pt>
              </c:numCache>
            </c:numRef>
          </c:yVal>
          <c:smooth val="0"/>
          <c:extLst>
            <c:ext xmlns:c16="http://schemas.microsoft.com/office/drawing/2014/chart" uri="{C3380CC4-5D6E-409C-BE32-E72D297353CC}">
              <c16:uniqueId val="{00000001-2664-4E3A-A6E8-FBDF5D08C24F}"/>
            </c:ext>
          </c:extLst>
        </c:ser>
        <c:dLbls>
          <c:showLegendKey val="0"/>
          <c:showVal val="0"/>
          <c:showCatName val="0"/>
          <c:showSerName val="0"/>
          <c:showPercent val="0"/>
          <c:showBubbleSize val="0"/>
        </c:dLbls>
        <c:axId val="154710400"/>
        <c:axId val="154711936"/>
      </c:scatterChart>
      <c:valAx>
        <c:axId val="154710400"/>
        <c:scaling>
          <c:orientation val="minMax"/>
        </c:scaling>
        <c:delete val="0"/>
        <c:axPos val="b"/>
        <c:numFmt formatCode="0" sourceLinked="1"/>
        <c:majorTickMark val="out"/>
        <c:minorTickMark val="none"/>
        <c:tickLblPos val="nextTo"/>
        <c:spPr>
          <a:ln w="3175">
            <a:solidFill>
              <a:srgbClr val="000000"/>
            </a:solidFill>
            <a:prstDash val="solid"/>
          </a:ln>
        </c:spPr>
        <c:txPr>
          <a:bodyPr rot="0" vert="horz"/>
          <a:lstStyle/>
          <a:p>
            <a:pPr>
              <a:defRPr/>
            </a:pPr>
            <a:endParaRPr lang="en-US"/>
          </a:p>
        </c:txPr>
        <c:crossAx val="154711936"/>
        <c:crosses val="autoZero"/>
        <c:crossBetween val="midCat"/>
      </c:valAx>
      <c:valAx>
        <c:axId val="154711936"/>
        <c:scaling>
          <c:orientation val="minMax"/>
        </c:scaling>
        <c:delete val="0"/>
        <c:axPos val="l"/>
        <c:numFmt formatCode="General" sourceLinked="1"/>
        <c:majorTickMark val="none"/>
        <c:minorTickMark val="none"/>
        <c:tickLblPos val="none"/>
        <c:spPr>
          <a:ln w="9525">
            <a:noFill/>
          </a:ln>
        </c:spPr>
        <c:crossAx val="154710400"/>
        <c:crosses val="autoZero"/>
        <c:crossBetween val="midCat"/>
      </c:valAx>
      <c:spPr>
        <a:solidFill>
          <a:srgbClr val="FFFFFF"/>
        </a:solidFill>
        <a:ln w="3175">
          <a:solidFill>
            <a:srgbClr val="000000"/>
          </a:solidFill>
          <a:prstDash val="solid"/>
        </a:ln>
      </c:spPr>
    </c:plotArea>
    <c:plotVisOnly val="1"/>
    <c:dispBlanksAs val="gap"/>
    <c:showDLblsOverMax val="0"/>
  </c:chart>
  <c:spPr>
    <a:solidFill>
      <a:schemeClr val="tx2">
        <a:lumMod val="20000"/>
        <a:lumOff val="80000"/>
      </a:schemeClr>
    </a:solidFill>
    <a:ln w="3175">
      <a:solidFill>
        <a:srgbClr val="000000"/>
      </a:solidFill>
      <a:prstDash val="solid"/>
    </a:ln>
  </c:spPr>
  <c:txPr>
    <a:bodyPr/>
    <a:lstStyle/>
    <a:p>
      <a:pPr>
        <a:defRPr sz="975" b="0" i="0" u="none" strike="noStrike" baseline="0">
          <a:solidFill>
            <a:schemeClr val="tx1"/>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233078826533988E-2"/>
          <c:y val="6.147553285799192E-2"/>
          <c:w val="0.8455306929906975"/>
          <c:h val="0.77049334515349877"/>
        </c:manualLayout>
      </c:layout>
      <c:scatterChart>
        <c:scatterStyle val="lineMarker"/>
        <c:varyColors val="0"/>
        <c:ser>
          <c:idx val="0"/>
          <c:order val="0"/>
          <c:tx>
            <c:v>Sample</c:v>
          </c:tx>
          <c:spPr>
            <a:ln w="12700">
              <a:solidFill>
                <a:srgbClr val="FF0000"/>
              </a:solidFill>
              <a:prstDash val="solid"/>
            </a:ln>
          </c:spPr>
          <c:marker>
            <c:symbol val="none"/>
          </c:marker>
          <c:xVal>
            <c:numRef>
              <c:f>Skewed!$C$19:$C$35</c:f>
              <c:numCache>
                <c:formatCode>0</c:formatCode>
                <c:ptCount val="17"/>
                <c:pt idx="0">
                  <c:v>0.36097249298199685</c:v>
                </c:pt>
                <c:pt idx="1">
                  <c:v>1.9264103323921595</c:v>
                </c:pt>
                <c:pt idx="3">
                  <c:v>1.9264103323921595</c:v>
                </c:pt>
                <c:pt idx="4">
                  <c:v>4.5733137324368354</c:v>
                </c:pt>
                <c:pt idx="5">
                  <c:v>4.5733137324368354</c:v>
                </c:pt>
                <c:pt idx="6">
                  <c:v>1.9264103323921595</c:v>
                </c:pt>
                <c:pt idx="7">
                  <c:v>1.9264103323921595</c:v>
                </c:pt>
                <c:pt idx="9">
                  <c:v>4.5733137324368354</c:v>
                </c:pt>
                <c:pt idx="10">
                  <c:v>11.699017151645638</c:v>
                </c:pt>
                <c:pt idx="12">
                  <c:v>3.0779815854121022</c:v>
                </c:pt>
                <c:pt idx="13">
                  <c:v>3.0779815854121022</c:v>
                </c:pt>
                <c:pt idx="15">
                  <c:v>4.5733137324368354</c:v>
                </c:pt>
                <c:pt idx="16">
                  <c:v>4.5733137324368354</c:v>
                </c:pt>
              </c:numCache>
            </c:numRef>
          </c:xVal>
          <c:yVal>
            <c:numRef>
              <c:f>Skewed!$D$19:$D$35</c:f>
              <c:numCache>
                <c:formatCode>General</c:formatCode>
                <c:ptCount val="17"/>
                <c:pt idx="0">
                  <c:v>1.5</c:v>
                </c:pt>
                <c:pt idx="1">
                  <c:v>1.5</c:v>
                </c:pt>
                <c:pt idx="3">
                  <c:v>2.5</c:v>
                </c:pt>
                <c:pt idx="4">
                  <c:v>2.5</c:v>
                </c:pt>
                <c:pt idx="5">
                  <c:v>0.5</c:v>
                </c:pt>
                <c:pt idx="6">
                  <c:v>0.5</c:v>
                </c:pt>
                <c:pt idx="7">
                  <c:v>2.5</c:v>
                </c:pt>
                <c:pt idx="9">
                  <c:v>1.5</c:v>
                </c:pt>
                <c:pt idx="10">
                  <c:v>1.5</c:v>
                </c:pt>
                <c:pt idx="12">
                  <c:v>0.5</c:v>
                </c:pt>
                <c:pt idx="13">
                  <c:v>2.5</c:v>
                </c:pt>
                <c:pt idx="15">
                  <c:v>2.5</c:v>
                </c:pt>
                <c:pt idx="16">
                  <c:v>0.5</c:v>
                </c:pt>
              </c:numCache>
            </c:numRef>
          </c:yVal>
          <c:smooth val="0"/>
          <c:extLst>
            <c:ext xmlns:c16="http://schemas.microsoft.com/office/drawing/2014/chart" uri="{C3380CC4-5D6E-409C-BE32-E72D297353CC}">
              <c16:uniqueId val="{00000000-433C-4E52-8823-E2E3637AD0EF}"/>
            </c:ext>
          </c:extLst>
        </c:ser>
        <c:ser>
          <c:idx val="1"/>
          <c:order val="1"/>
          <c:tx>
            <c:v>Expected</c:v>
          </c:tx>
          <c:spPr>
            <a:ln w="12700">
              <a:solidFill>
                <a:srgbClr val="0000FF"/>
              </a:solidFill>
              <a:prstDash val="solid"/>
            </a:ln>
          </c:spPr>
          <c:marker>
            <c:symbol val="none"/>
          </c:marker>
          <c:xVal>
            <c:numRef>
              <c:f>Skewed!$O$19:$O$35</c:f>
              <c:numCache>
                <c:formatCode>0</c:formatCode>
                <c:ptCount val="17"/>
                <c:pt idx="0">
                  <c:v>0.29710948050653158</c:v>
                </c:pt>
                <c:pt idx="1">
                  <c:v>1.9225575262295547</c:v>
                </c:pt>
                <c:pt idx="3">
                  <c:v>1.9225575262295547</c:v>
                </c:pt>
                <c:pt idx="4">
                  <c:v>5.385269057779392</c:v>
                </c:pt>
                <c:pt idx="5">
                  <c:v>5.385269057779392</c:v>
                </c:pt>
                <c:pt idx="6">
                  <c:v>1.9225575262295547</c:v>
                </c:pt>
                <c:pt idx="7">
                  <c:v>1.9225575262295547</c:v>
                </c:pt>
                <c:pt idx="9">
                  <c:v>5.385269057779392</c:v>
                </c:pt>
                <c:pt idx="10">
                  <c:v>13.276704135987623</c:v>
                </c:pt>
                <c:pt idx="12">
                  <c:v>3.3566939800333211</c:v>
                </c:pt>
                <c:pt idx="13">
                  <c:v>3.3566939800333211</c:v>
                </c:pt>
                <c:pt idx="15">
                  <c:v>5.385269057779392</c:v>
                </c:pt>
                <c:pt idx="16">
                  <c:v>5.385269057779392</c:v>
                </c:pt>
              </c:numCache>
            </c:numRef>
          </c:xVal>
          <c:yVal>
            <c:numRef>
              <c:f>Skewed!$P$19:$P$35</c:f>
              <c:numCache>
                <c:formatCode>General</c:formatCode>
                <c:ptCount val="17"/>
                <c:pt idx="0">
                  <c:v>4.5</c:v>
                </c:pt>
                <c:pt idx="1">
                  <c:v>4.5</c:v>
                </c:pt>
                <c:pt idx="3">
                  <c:v>5.5</c:v>
                </c:pt>
                <c:pt idx="4">
                  <c:v>5.5</c:v>
                </c:pt>
                <c:pt idx="5">
                  <c:v>3.5</c:v>
                </c:pt>
                <c:pt idx="6">
                  <c:v>3.5</c:v>
                </c:pt>
                <c:pt idx="7">
                  <c:v>5.5</c:v>
                </c:pt>
                <c:pt idx="9">
                  <c:v>4.5</c:v>
                </c:pt>
                <c:pt idx="10">
                  <c:v>4.5</c:v>
                </c:pt>
                <c:pt idx="11">
                  <c:v>3</c:v>
                </c:pt>
                <c:pt idx="12">
                  <c:v>3.5</c:v>
                </c:pt>
                <c:pt idx="13">
                  <c:v>5.5</c:v>
                </c:pt>
                <c:pt idx="15">
                  <c:v>5.5</c:v>
                </c:pt>
                <c:pt idx="16">
                  <c:v>3.5</c:v>
                </c:pt>
              </c:numCache>
            </c:numRef>
          </c:yVal>
          <c:smooth val="0"/>
          <c:extLst>
            <c:ext xmlns:c16="http://schemas.microsoft.com/office/drawing/2014/chart" uri="{C3380CC4-5D6E-409C-BE32-E72D297353CC}">
              <c16:uniqueId val="{00000001-433C-4E52-8823-E2E3637AD0EF}"/>
            </c:ext>
          </c:extLst>
        </c:ser>
        <c:dLbls>
          <c:showLegendKey val="0"/>
          <c:showVal val="0"/>
          <c:showCatName val="0"/>
          <c:showSerName val="0"/>
          <c:showPercent val="0"/>
          <c:showBubbleSize val="0"/>
        </c:dLbls>
        <c:axId val="154867584"/>
        <c:axId val="154869120"/>
      </c:scatterChart>
      <c:valAx>
        <c:axId val="154867584"/>
        <c:scaling>
          <c:orientation val="minMax"/>
          <c:max val="20"/>
          <c:min val="0"/>
        </c:scaling>
        <c:delete val="0"/>
        <c:axPos val="b"/>
        <c:numFmt formatCode="0" sourceLinked="0"/>
        <c:majorTickMark val="out"/>
        <c:minorTickMark val="none"/>
        <c:tickLblPos val="nextTo"/>
        <c:spPr>
          <a:ln w="3175">
            <a:solidFill>
              <a:srgbClr val="000000"/>
            </a:solidFill>
            <a:prstDash val="solid"/>
          </a:ln>
        </c:spPr>
        <c:txPr>
          <a:bodyPr rot="0" vert="horz"/>
          <a:lstStyle/>
          <a:p>
            <a:pPr>
              <a:defRPr/>
            </a:pPr>
            <a:endParaRPr lang="en-US"/>
          </a:p>
        </c:txPr>
        <c:crossAx val="154869120"/>
        <c:crosses val="autoZero"/>
        <c:crossBetween val="midCat"/>
      </c:valAx>
      <c:valAx>
        <c:axId val="154869120"/>
        <c:scaling>
          <c:orientation val="minMax"/>
        </c:scaling>
        <c:delete val="0"/>
        <c:axPos val="l"/>
        <c:numFmt formatCode="General" sourceLinked="1"/>
        <c:majorTickMark val="none"/>
        <c:minorTickMark val="none"/>
        <c:tickLblPos val="none"/>
        <c:spPr>
          <a:ln w="9525">
            <a:noFill/>
          </a:ln>
        </c:spPr>
        <c:crossAx val="154867584"/>
        <c:crosses val="autoZero"/>
        <c:crossBetween val="midCat"/>
      </c:valAx>
      <c:spPr>
        <a:solidFill>
          <a:srgbClr val="FFFFFF"/>
        </a:solidFill>
        <a:ln w="3175">
          <a:solidFill>
            <a:srgbClr val="000000"/>
          </a:solidFill>
          <a:prstDash val="solid"/>
        </a:ln>
      </c:spPr>
    </c:plotArea>
    <c:plotVisOnly val="1"/>
    <c:dispBlanksAs val="gap"/>
    <c:showDLblsOverMax val="0"/>
  </c:chart>
  <c:spPr>
    <a:solidFill>
      <a:schemeClr val="tx2">
        <a:lumMod val="20000"/>
        <a:lumOff val="80000"/>
      </a:schemeClr>
    </a:solidFill>
    <a:ln w="3175">
      <a:solidFill>
        <a:srgbClr val="000000"/>
      </a:solidFill>
      <a:prstDash val="solid"/>
    </a:ln>
  </c:spPr>
  <c:txPr>
    <a:bodyPr/>
    <a:lstStyle/>
    <a:p>
      <a:pPr>
        <a:defRPr sz="975" b="0" i="0" u="none" strike="noStrike" baseline="0">
          <a:solidFill>
            <a:schemeClr val="tx1"/>
          </a:solidFill>
          <a:latin typeface="Arial"/>
          <a:ea typeface="Arial"/>
          <a:cs typeface="Arial"/>
        </a:defRPr>
      </a:pPr>
      <a:endParaRPr lang="en-US"/>
    </a:p>
  </c:txPr>
  <c:printSettings>
    <c:headerFooter alignWithMargins="0"/>
    <c:pageMargins b="1" l="0.75" r="0.75" t="1" header="0.5" footer="0.5"/>
    <c:pageSetup orientation="landscape" horizontalDpi="-3" verticalDpi="-3"/>
  </c:printSettings>
  <c:userShapes r:id="rId1"/>
</c:chartSpace>
</file>

<file path=xl/ctrlProps/ctrlProp1.xml><?xml version="1.0" encoding="utf-8"?>
<formControlPr xmlns="http://schemas.microsoft.com/office/spreadsheetml/2009/9/main" objectType="Drop" dropStyle="combo" dx="16" fmlaLink="O10" fmlaRange="$N$6:$N$8" noThreeD="1" sel="2" val="0"/>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wmf"/><Relationship Id="rId5" Type="http://schemas.openxmlformats.org/officeDocument/2006/relationships/image" Target="../media/image5.gi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27</xdr:row>
      <xdr:rowOff>38100</xdr:rowOff>
    </xdr:from>
    <xdr:to>
      <xdr:col>5</xdr:col>
      <xdr:colOff>494936</xdr:colOff>
      <xdr:row>43</xdr:row>
      <xdr:rowOff>33698</xdr:rowOff>
    </xdr:to>
    <xdr:pic>
      <xdr:nvPicPr>
        <xdr:cNvPr id="79" name="Picture 78">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438650"/>
          <a:ext cx="2914286" cy="2586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171451</xdr:colOff>
      <xdr:row>8</xdr:row>
      <xdr:rowOff>66675</xdr:rowOff>
    </xdr:from>
    <xdr:to>
      <xdr:col>12</xdr:col>
      <xdr:colOff>81376</xdr:colOff>
      <xdr:row>19</xdr:row>
      <xdr:rowOff>135989</xdr:rowOff>
    </xdr:to>
    <xdr:pic>
      <xdr:nvPicPr>
        <xdr:cNvPr id="68" name="Picture 67">
          <a:extLst>
            <a:ext uri="{FF2B5EF4-FFF2-40B4-BE49-F238E27FC236}">
              <a16:creationId xmlns:a16="http://schemas.microsoft.com/office/drawing/2014/main" id="{00000000-0008-0000-0000-00004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71951" y="1390650"/>
          <a:ext cx="2957925" cy="1850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223838</xdr:colOff>
      <xdr:row>26</xdr:row>
      <xdr:rowOff>164306</xdr:rowOff>
    </xdr:from>
    <xdr:to>
      <xdr:col>12</xdr:col>
      <xdr:colOff>168695</xdr:colOff>
      <xdr:row>43</xdr:row>
      <xdr:rowOff>21797</xdr:rowOff>
    </xdr:to>
    <xdr:pic>
      <xdr:nvPicPr>
        <xdr:cNvPr id="46" name="Picture 45">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12432" y="4521994"/>
          <a:ext cx="2980951" cy="2691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180976</xdr:colOff>
      <xdr:row>3</xdr:row>
      <xdr:rowOff>57150</xdr:rowOff>
    </xdr:from>
    <xdr:to>
      <xdr:col>6</xdr:col>
      <xdr:colOff>383884</xdr:colOff>
      <xdr:row>19</xdr:row>
      <xdr:rowOff>31314</xdr:rowOff>
    </xdr:to>
    <xdr:pic>
      <xdr:nvPicPr>
        <xdr:cNvPr id="42" name="Picture 41">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0976" y="571500"/>
          <a:ext cx="3593808" cy="2564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145256</xdr:colOff>
      <xdr:row>19</xdr:row>
      <xdr:rowOff>92868</xdr:rowOff>
    </xdr:from>
    <xdr:to>
      <xdr:col>6</xdr:col>
      <xdr:colOff>42862</xdr:colOff>
      <xdr:row>21</xdr:row>
      <xdr:rowOff>83343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90537" y="3283743"/>
          <a:ext cx="2933700" cy="3238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The ends of the "whiskers" </a:t>
          </a:r>
          <a:r>
            <a:rPr lang="en-US" sz="1100"/>
            <a:t>show </a:t>
          </a:r>
          <a:r>
            <a:rPr lang="en-US" sz="1100" i="1"/>
            <a:t>x</a:t>
          </a:r>
          <a:r>
            <a:rPr lang="en-US" sz="1100" baseline="-25000"/>
            <a:t>min</a:t>
          </a:r>
          <a:r>
            <a:rPr lang="en-US" sz="1100"/>
            <a:t> and </a:t>
          </a:r>
          <a:r>
            <a:rPr lang="en-US" sz="1100" i="1"/>
            <a:t>x</a:t>
          </a:r>
          <a:r>
            <a:rPr lang="en-US" sz="1100" baseline="-25000"/>
            <a:t>max</a:t>
          </a:r>
          <a:r>
            <a:rPr lang="en-US" sz="1100"/>
            <a:t>. </a:t>
          </a:r>
        </a:p>
      </xdr:txBody>
    </xdr:sp>
    <xdr:clientData/>
  </xdr:twoCellAnchor>
  <xdr:twoCellAnchor>
    <xdr:from>
      <xdr:col>12</xdr:col>
      <xdr:colOff>245268</xdr:colOff>
      <xdr:row>23</xdr:row>
      <xdr:rowOff>4765</xdr:rowOff>
    </xdr:from>
    <xdr:to>
      <xdr:col>16</xdr:col>
      <xdr:colOff>38099</xdr:colOff>
      <xdr:row>27</xdr:row>
      <xdr:rowOff>80964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7269956" y="3862390"/>
          <a:ext cx="2221706" cy="74294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Even in a skewed distribution, the </a:t>
          </a:r>
          <a:r>
            <a:rPr lang="en-US" sz="1100" baseline="0"/>
            <a:t>the "box" indicates the middle 50% and each tail contains 25%.</a:t>
          </a:r>
          <a:endParaRPr lang="en-US" sz="1100"/>
        </a:p>
      </xdr:txBody>
    </xdr:sp>
    <xdr:clientData/>
  </xdr:twoCellAnchor>
  <xdr:twoCellAnchor>
    <xdr:from>
      <xdr:col>12</xdr:col>
      <xdr:colOff>209550</xdr:colOff>
      <xdr:row>29</xdr:row>
      <xdr:rowOff>38100</xdr:rowOff>
    </xdr:from>
    <xdr:to>
      <xdr:col>15</xdr:col>
      <xdr:colOff>533400</xdr:colOff>
      <xdr:row>34</xdr:row>
      <xdr:rowOff>152400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7258050" y="4762500"/>
          <a:ext cx="2152650" cy="9239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Sample</a:t>
          </a:r>
          <a:r>
            <a:rPr lang="en-US" sz="1100" baseline="0"/>
            <a:t> quartiles are only estimates of population quartiles, but a sample boxplot does suggest the shape of the population being sampled.</a:t>
          </a:r>
          <a:endParaRPr lang="en-US" sz="1100"/>
        </a:p>
      </xdr:txBody>
    </xdr:sp>
    <xdr:clientData/>
  </xdr:twoCellAnchor>
  <xdr:twoCellAnchor>
    <xdr:from>
      <xdr:col>1</xdr:col>
      <xdr:colOff>371476</xdr:colOff>
      <xdr:row>1</xdr:row>
      <xdr:rowOff>152401</xdr:rowOff>
    </xdr:from>
    <xdr:to>
      <xdr:col>6</xdr:col>
      <xdr:colOff>285750</xdr:colOff>
      <xdr:row>3</xdr:row>
      <xdr:rowOff>114300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714376" y="342901"/>
          <a:ext cx="2962274" cy="285749"/>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"box"</a:t>
          </a:r>
          <a:r>
            <a:rPr lang="en-US" sz="1100" baseline="0"/>
            <a:t> marks th</a:t>
          </a:r>
          <a:r>
            <a:rPr lang="en-US" sz="1100"/>
            <a:t>e position of the quartiles.</a:t>
          </a:r>
        </a:p>
      </xdr:txBody>
    </xdr:sp>
    <xdr:clientData/>
  </xdr:twoCellAnchor>
  <xdr:twoCellAnchor>
    <xdr:from>
      <xdr:col>0</xdr:col>
      <xdr:colOff>304801</xdr:colOff>
      <xdr:row>16</xdr:row>
      <xdr:rowOff>123825</xdr:rowOff>
    </xdr:from>
    <xdr:to>
      <xdr:col>0</xdr:col>
      <xdr:colOff>309562</xdr:colOff>
      <xdr:row>19</xdr:row>
      <xdr:rowOff>11906</xdr:rowOff>
    </xdr:to>
    <xdr:cxnSp macro="">
      <xdr:nvCxnSpPr>
        <xdr:cNvPr id="10" name="Straight Arrow Connector 9">
          <a:extLst>
            <a:ext uri="{FF2B5EF4-FFF2-40B4-BE49-F238E27FC236}">
              <a16:creationId xmlns:a16="http://schemas.microsoft.com/office/drawing/2014/main" id="{00000000-0008-0000-0000-00000A000000}"/>
            </a:ext>
          </a:extLst>
        </xdr:cNvPr>
        <xdr:cNvCxnSpPr/>
      </xdr:nvCxnSpPr>
      <xdr:spPr bwMode="auto">
        <a:xfrm flipH="1" flipV="1">
          <a:off x="304801" y="2814638"/>
          <a:ext cx="4761" cy="388143"/>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6</xdr:col>
      <xdr:colOff>269876</xdr:colOff>
      <xdr:row>16</xdr:row>
      <xdr:rowOff>152401</xdr:rowOff>
    </xdr:from>
    <xdr:to>
      <xdr:col>6</xdr:col>
      <xdr:colOff>273050</xdr:colOff>
      <xdr:row>19</xdr:row>
      <xdr:rowOff>44450</xdr:rowOff>
    </xdr:to>
    <xdr:cxnSp macro="">
      <xdr:nvCxnSpPr>
        <xdr:cNvPr id="12" name="Straight Arrow Connector 11">
          <a:extLst>
            <a:ext uri="{FF2B5EF4-FFF2-40B4-BE49-F238E27FC236}">
              <a16:creationId xmlns:a16="http://schemas.microsoft.com/office/drawing/2014/main" id="{00000000-0008-0000-0000-00000C000000}"/>
            </a:ext>
          </a:extLst>
        </xdr:cNvPr>
        <xdr:cNvCxnSpPr/>
      </xdr:nvCxnSpPr>
      <xdr:spPr bwMode="auto">
        <a:xfrm flipH="1" flipV="1">
          <a:off x="3660776" y="2819401"/>
          <a:ext cx="3174" cy="387349"/>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2</xdr:col>
      <xdr:colOff>304800</xdr:colOff>
      <xdr:row>3</xdr:row>
      <xdr:rowOff>76200</xdr:rowOff>
    </xdr:from>
    <xdr:to>
      <xdr:col>3</xdr:col>
      <xdr:colOff>19050</xdr:colOff>
      <xdr:row>15</xdr:row>
      <xdr:rowOff>38100</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bwMode="auto">
        <a:xfrm>
          <a:off x="1257300" y="590550"/>
          <a:ext cx="323850" cy="190500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4</xdr:col>
      <xdr:colOff>190500</xdr:colOff>
      <xdr:row>3</xdr:row>
      <xdr:rowOff>85725</xdr:rowOff>
    </xdr:from>
    <xdr:to>
      <xdr:col>5</xdr:col>
      <xdr:colOff>114301</xdr:colOff>
      <xdr:row>15</xdr:row>
      <xdr:rowOff>19050</xdr:rowOff>
    </xdr:to>
    <xdr:cxnSp macro="">
      <xdr:nvCxnSpPr>
        <xdr:cNvPr id="20" name="Straight Arrow Connector 19">
          <a:extLst>
            <a:ext uri="{FF2B5EF4-FFF2-40B4-BE49-F238E27FC236}">
              <a16:creationId xmlns:a16="http://schemas.microsoft.com/office/drawing/2014/main" id="{00000000-0008-0000-0000-000014000000}"/>
            </a:ext>
          </a:extLst>
        </xdr:cNvPr>
        <xdr:cNvCxnSpPr/>
      </xdr:nvCxnSpPr>
      <xdr:spPr bwMode="auto">
        <a:xfrm flipH="1">
          <a:off x="2362200" y="600075"/>
          <a:ext cx="533401" cy="1876425"/>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xdr:col>
      <xdr:colOff>390525</xdr:colOff>
      <xdr:row>3</xdr:row>
      <xdr:rowOff>47625</xdr:rowOff>
    </xdr:from>
    <xdr:to>
      <xdr:col>3</xdr:col>
      <xdr:colOff>419100</xdr:colOff>
      <xdr:row>15</xdr:row>
      <xdr:rowOff>28575</xdr:rowOff>
    </xdr:to>
    <xdr:cxnSp macro="">
      <xdr:nvCxnSpPr>
        <xdr:cNvPr id="23" name="Straight Arrow Connector 22">
          <a:extLst>
            <a:ext uri="{FF2B5EF4-FFF2-40B4-BE49-F238E27FC236}">
              <a16:creationId xmlns:a16="http://schemas.microsoft.com/office/drawing/2014/main" id="{00000000-0008-0000-0000-000017000000}"/>
            </a:ext>
          </a:extLst>
        </xdr:cNvPr>
        <xdr:cNvCxnSpPr/>
      </xdr:nvCxnSpPr>
      <xdr:spPr bwMode="auto">
        <a:xfrm>
          <a:off x="1952625" y="561975"/>
          <a:ext cx="28575" cy="1924050"/>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3</xdr:col>
      <xdr:colOff>495300</xdr:colOff>
      <xdr:row>22</xdr:row>
      <xdr:rowOff>111126</xdr:rowOff>
    </xdr:from>
    <xdr:to>
      <xdr:col>9</xdr:col>
      <xdr:colOff>19050</xdr:colOff>
      <xdr:row>25</xdr:row>
      <xdr:rowOff>120650</xdr:rowOff>
    </xdr:to>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2057400" y="3768726"/>
          <a:ext cx="3181350" cy="50482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skewed distribution, the median </a:t>
          </a:r>
          <a:r>
            <a:rPr lang="en-US" sz="1100" i="1"/>
            <a:t>Q</a:t>
          </a:r>
          <a:r>
            <a:rPr lang="en-US" sz="1100" baseline="-25000"/>
            <a:t>2</a:t>
          </a:r>
          <a:r>
            <a:rPr lang="en-US" sz="1100"/>
            <a:t> is not at the middle of the "box" but is offset towards the mode.</a:t>
          </a:r>
          <a:r>
            <a:rPr lang="en-US" sz="1100" baseline="0"/>
            <a:t> </a:t>
          </a:r>
          <a:endParaRPr lang="en-US" sz="1100"/>
        </a:p>
      </xdr:txBody>
    </xdr:sp>
    <xdr:clientData/>
  </xdr:twoCellAnchor>
  <xdr:twoCellAnchor>
    <xdr:from>
      <xdr:col>7</xdr:col>
      <xdr:colOff>438150</xdr:colOff>
      <xdr:row>1</xdr:row>
      <xdr:rowOff>92076</xdr:rowOff>
    </xdr:from>
    <xdr:to>
      <xdr:col>11</xdr:col>
      <xdr:colOff>485775</xdr:colOff>
      <xdr:row>4</xdr:row>
      <xdr:rowOff>101600</xdr:rowOff>
    </xdr:to>
    <xdr:sp macro="" textlink="">
      <xdr:nvSpPr>
        <xdr:cNvPr id="69" name="TextBox 68">
          <a:extLst>
            <a:ext uri="{FF2B5EF4-FFF2-40B4-BE49-F238E27FC236}">
              <a16:creationId xmlns:a16="http://schemas.microsoft.com/office/drawing/2014/main" id="{00000000-0008-0000-0000-000045000000}"/>
            </a:ext>
          </a:extLst>
        </xdr:cNvPr>
        <xdr:cNvSpPr txBox="1"/>
      </xdr:nvSpPr>
      <xdr:spPr>
        <a:xfrm>
          <a:off x="4438650" y="282576"/>
          <a:ext cx="2486025" cy="50482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symmetric distribution, the median </a:t>
          </a:r>
          <a:r>
            <a:rPr lang="en-US" sz="1100" i="1"/>
            <a:t>Q</a:t>
          </a:r>
          <a:r>
            <a:rPr lang="en-US" sz="1100" baseline="-25000"/>
            <a:t>2</a:t>
          </a:r>
          <a:r>
            <a:rPr lang="en-US" sz="1100"/>
            <a:t> is  at the middle of the "box." </a:t>
          </a:r>
        </a:p>
      </xdr:txBody>
    </xdr:sp>
    <xdr:clientData/>
  </xdr:twoCellAnchor>
  <xdr:twoCellAnchor>
    <xdr:from>
      <xdr:col>2</xdr:col>
      <xdr:colOff>428625</xdr:colOff>
      <xdr:row>15</xdr:row>
      <xdr:rowOff>35719</xdr:rowOff>
    </xdr:from>
    <xdr:to>
      <xdr:col>4</xdr:col>
      <xdr:colOff>314326</xdr:colOff>
      <xdr:row>18</xdr:row>
      <xdr:rowOff>11906</xdr:rowOff>
    </xdr:to>
    <xdr:sp macro="" textlink="">
      <xdr:nvSpPr>
        <xdr:cNvPr id="76" name="Oval 75">
          <a:extLst>
            <a:ext uri="{FF2B5EF4-FFF2-40B4-BE49-F238E27FC236}">
              <a16:creationId xmlns:a16="http://schemas.microsoft.com/office/drawing/2014/main" id="{00000000-0008-0000-0000-00004C000000}"/>
            </a:ext>
          </a:extLst>
        </xdr:cNvPr>
        <xdr:cNvSpPr/>
      </xdr:nvSpPr>
      <xdr:spPr bwMode="auto">
        <a:xfrm>
          <a:off x="1381125" y="2559844"/>
          <a:ext cx="1100139" cy="476250"/>
        </a:xfrm>
        <a:prstGeom prst="ellipse">
          <a:avLst/>
        </a:prstGeom>
        <a:noFill/>
        <a:ln w="9525" cap="flat" cmpd="sng" algn="ctr">
          <a:solidFill>
            <a:srgbClr val="000000"/>
          </a:solidFill>
          <a:prstDash val="solid"/>
          <a:round/>
          <a:headEnd type="none" w="med" len="med"/>
          <a:tailEnd type="none" w="med" len="med"/>
        </a:ln>
        <a:effectLst>
          <a:glow rad="127000">
            <a:srgbClr val="FFFF00">
              <a:alpha val="23000"/>
            </a:srgbClr>
          </a:glow>
        </a:effectLst>
      </xdr:spPr>
      <xdr:txBody>
        <a:bodyPr vertOverflow="clip" horzOverflow="clip" wrap="square" lIns="18288" tIns="0" rIns="0" bIns="0" rtlCol="0" anchor="t" upright="1"/>
        <a:lstStyle/>
        <a:p>
          <a:pPr algn="l"/>
          <a:endParaRPr lang="en-US" sz="1100"/>
        </a:p>
      </xdr:txBody>
    </xdr:sp>
    <xdr:clientData/>
  </xdr:twoCellAnchor>
  <xdr:twoCellAnchor>
    <xdr:from>
      <xdr:col>9</xdr:col>
      <xdr:colOff>161925</xdr:colOff>
      <xdr:row>15</xdr:row>
      <xdr:rowOff>95251</xdr:rowOff>
    </xdr:from>
    <xdr:to>
      <xdr:col>10</xdr:col>
      <xdr:colOff>57151</xdr:colOff>
      <xdr:row>18</xdr:row>
      <xdr:rowOff>104776</xdr:rowOff>
    </xdr:to>
    <xdr:sp macro="" textlink="">
      <xdr:nvSpPr>
        <xdr:cNvPr id="78" name="Oval 77">
          <a:extLst>
            <a:ext uri="{FF2B5EF4-FFF2-40B4-BE49-F238E27FC236}">
              <a16:creationId xmlns:a16="http://schemas.microsoft.com/office/drawing/2014/main" id="{00000000-0008-0000-0000-00004E000000}"/>
            </a:ext>
          </a:extLst>
        </xdr:cNvPr>
        <xdr:cNvSpPr/>
      </xdr:nvSpPr>
      <xdr:spPr bwMode="auto">
        <a:xfrm>
          <a:off x="5381625" y="2552701"/>
          <a:ext cx="504826" cy="495300"/>
        </a:xfrm>
        <a:prstGeom prst="ellipse">
          <a:avLst/>
        </a:prstGeom>
        <a:noFill/>
        <a:ln w="9525" cap="flat" cmpd="sng" algn="ctr">
          <a:solidFill>
            <a:srgbClr val="000000"/>
          </a:solidFill>
          <a:prstDash val="solid"/>
          <a:round/>
          <a:headEnd type="none" w="med" len="med"/>
          <a:tailEnd type="none" w="med" len="med"/>
        </a:ln>
        <a:effectLst>
          <a:glow rad="127000">
            <a:srgbClr val="FFFF00">
              <a:alpha val="23000"/>
            </a:srgbClr>
          </a:glow>
        </a:effectLst>
      </xdr:spPr>
      <xdr:txBody>
        <a:bodyPr vertOverflow="clip" horzOverflow="clip" wrap="square" lIns="18288" tIns="0" rIns="0" bIns="0" rtlCol="0" anchor="t" upright="1"/>
        <a:lstStyle/>
        <a:p>
          <a:pPr algn="l"/>
          <a:endParaRPr lang="en-US" sz="1100"/>
        </a:p>
      </xdr:txBody>
    </xdr:sp>
    <xdr:clientData/>
  </xdr:twoCellAnchor>
  <xdr:twoCellAnchor>
    <xdr:from>
      <xdr:col>8</xdr:col>
      <xdr:colOff>209550</xdr:colOff>
      <xdr:row>38</xdr:row>
      <xdr:rowOff>142875</xdr:rowOff>
    </xdr:from>
    <xdr:to>
      <xdr:col>9</xdr:col>
      <xdr:colOff>47626</xdr:colOff>
      <xdr:row>41</xdr:row>
      <xdr:rowOff>95250</xdr:rowOff>
    </xdr:to>
    <xdr:sp macro="" textlink="">
      <xdr:nvSpPr>
        <xdr:cNvPr id="83" name="Oval 82">
          <a:extLst>
            <a:ext uri="{FF2B5EF4-FFF2-40B4-BE49-F238E27FC236}">
              <a16:creationId xmlns:a16="http://schemas.microsoft.com/office/drawing/2014/main" id="{00000000-0008-0000-0000-000053000000}"/>
            </a:ext>
          </a:extLst>
        </xdr:cNvPr>
        <xdr:cNvSpPr/>
      </xdr:nvSpPr>
      <xdr:spPr bwMode="auto">
        <a:xfrm>
          <a:off x="4819650" y="6324600"/>
          <a:ext cx="447676" cy="438150"/>
        </a:xfrm>
        <a:prstGeom prst="ellipse">
          <a:avLst/>
        </a:prstGeom>
        <a:noFill/>
        <a:ln w="9525" cap="flat" cmpd="sng" algn="ctr">
          <a:solidFill>
            <a:srgbClr val="000000"/>
          </a:solidFill>
          <a:prstDash val="solid"/>
          <a:round/>
          <a:headEnd type="none" w="med" len="med"/>
          <a:tailEnd type="none" w="med" len="med"/>
        </a:ln>
        <a:effectLst>
          <a:glow rad="127000">
            <a:srgbClr val="FFFF00">
              <a:alpha val="23000"/>
            </a:srgbClr>
          </a:glow>
        </a:effectLst>
      </xdr:spPr>
      <xdr:txBody>
        <a:bodyPr vertOverflow="clip" horzOverflow="clip" wrap="square" lIns="18288" tIns="0" rIns="0" bIns="0" rtlCol="0" anchor="t" upright="1"/>
        <a:lstStyle/>
        <a:p>
          <a:pPr algn="l"/>
          <a:endParaRPr lang="en-US" sz="1100"/>
        </a:p>
      </xdr:txBody>
    </xdr:sp>
    <xdr:clientData/>
  </xdr:twoCellAnchor>
  <xdr:twoCellAnchor>
    <xdr:from>
      <xdr:col>4</xdr:col>
      <xdr:colOff>114300</xdr:colOff>
      <xdr:row>39</xdr:row>
      <xdr:rowOff>9525</xdr:rowOff>
    </xdr:from>
    <xdr:to>
      <xdr:col>4</xdr:col>
      <xdr:colOff>561976</xdr:colOff>
      <xdr:row>41</xdr:row>
      <xdr:rowOff>123825</xdr:rowOff>
    </xdr:to>
    <xdr:sp macro="" textlink="">
      <xdr:nvSpPr>
        <xdr:cNvPr id="84" name="Oval 83">
          <a:extLst>
            <a:ext uri="{FF2B5EF4-FFF2-40B4-BE49-F238E27FC236}">
              <a16:creationId xmlns:a16="http://schemas.microsoft.com/office/drawing/2014/main" id="{00000000-0008-0000-0000-000054000000}"/>
            </a:ext>
          </a:extLst>
        </xdr:cNvPr>
        <xdr:cNvSpPr/>
      </xdr:nvSpPr>
      <xdr:spPr bwMode="auto">
        <a:xfrm>
          <a:off x="2286000" y="6353175"/>
          <a:ext cx="447676" cy="438150"/>
        </a:xfrm>
        <a:prstGeom prst="ellipse">
          <a:avLst/>
        </a:prstGeom>
        <a:noFill/>
        <a:ln w="9525" cap="flat" cmpd="sng" algn="ctr">
          <a:solidFill>
            <a:srgbClr val="000000"/>
          </a:solidFill>
          <a:prstDash val="solid"/>
          <a:round/>
          <a:headEnd type="none" w="med" len="med"/>
          <a:tailEnd type="none" w="med" len="med"/>
        </a:ln>
        <a:effectLst>
          <a:glow rad="127000">
            <a:srgbClr val="FFFF00">
              <a:alpha val="23000"/>
            </a:srgbClr>
          </a:glow>
        </a:effectLst>
      </xdr:spPr>
      <xdr:txBody>
        <a:bodyPr vertOverflow="clip" horzOverflow="clip" wrap="square" lIns="18288" tIns="0" rIns="0" bIns="0" rtlCol="0" anchor="t" upright="1"/>
        <a:lstStyle/>
        <a:p>
          <a:pPr algn="l"/>
          <a:endParaRPr lang="en-US" sz="1100"/>
        </a:p>
      </xdr:txBody>
    </xdr:sp>
    <xdr:clientData/>
  </xdr:twoCellAnchor>
  <xdr:twoCellAnchor editAs="oneCell">
    <xdr:from>
      <xdr:col>11</xdr:col>
      <xdr:colOff>252413</xdr:colOff>
      <xdr:row>22</xdr:row>
      <xdr:rowOff>150018</xdr:rowOff>
    </xdr:from>
    <xdr:to>
      <xdr:col>12</xdr:col>
      <xdr:colOff>223838</xdr:colOff>
      <xdr:row>26</xdr:row>
      <xdr:rowOff>54973</xdr:rowOff>
    </xdr:to>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69882" y="3840956"/>
          <a:ext cx="578644" cy="571705"/>
        </a:xfrm>
        <a:prstGeom prst="rect">
          <a:avLst/>
        </a:prstGeom>
      </xdr:spPr>
    </xdr:pic>
    <xdr:clientData/>
  </xdr:twoCellAnchor>
  <xdr:twoCellAnchor>
    <xdr:from>
      <xdr:col>9</xdr:col>
      <xdr:colOff>428625</xdr:colOff>
      <xdr:row>4</xdr:row>
      <xdr:rowOff>104775</xdr:rowOff>
    </xdr:from>
    <xdr:to>
      <xdr:col>9</xdr:col>
      <xdr:colOff>440531</xdr:colOff>
      <xdr:row>6</xdr:row>
      <xdr:rowOff>107156</xdr:rowOff>
    </xdr:to>
    <xdr:cxnSp macro="">
      <xdr:nvCxnSpPr>
        <xdr:cNvPr id="90" name="Straight Arrow Connector 89">
          <a:extLst>
            <a:ext uri="{FF2B5EF4-FFF2-40B4-BE49-F238E27FC236}">
              <a16:creationId xmlns:a16="http://schemas.microsoft.com/office/drawing/2014/main" id="{00000000-0008-0000-0000-00005A000000}"/>
            </a:ext>
          </a:extLst>
        </xdr:cNvPr>
        <xdr:cNvCxnSpPr/>
      </xdr:nvCxnSpPr>
      <xdr:spPr bwMode="auto">
        <a:xfrm>
          <a:off x="5631656" y="795338"/>
          <a:ext cx="11906" cy="335756"/>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4</xdr:col>
      <xdr:colOff>428624</xdr:colOff>
      <xdr:row>25</xdr:row>
      <xdr:rowOff>35720</xdr:rowOff>
    </xdr:from>
    <xdr:to>
      <xdr:col>4</xdr:col>
      <xdr:colOff>428625</xdr:colOff>
      <xdr:row>27</xdr:row>
      <xdr:rowOff>47626</xdr:rowOff>
    </xdr:to>
    <xdr:cxnSp macro="">
      <xdr:nvCxnSpPr>
        <xdr:cNvPr id="94" name="Straight Arrow Connector 93">
          <a:extLst>
            <a:ext uri="{FF2B5EF4-FFF2-40B4-BE49-F238E27FC236}">
              <a16:creationId xmlns:a16="http://schemas.microsoft.com/office/drawing/2014/main" id="{00000000-0008-0000-0000-00005E000000}"/>
            </a:ext>
          </a:extLst>
        </xdr:cNvPr>
        <xdr:cNvCxnSpPr/>
      </xdr:nvCxnSpPr>
      <xdr:spPr bwMode="auto">
        <a:xfrm flipH="1">
          <a:off x="2595562" y="4226720"/>
          <a:ext cx="1" cy="345281"/>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8</xdr:col>
      <xdr:colOff>380999</xdr:colOff>
      <xdr:row>25</xdr:row>
      <xdr:rowOff>59531</xdr:rowOff>
    </xdr:from>
    <xdr:to>
      <xdr:col>8</xdr:col>
      <xdr:colOff>380999</xdr:colOff>
      <xdr:row>27</xdr:row>
      <xdr:rowOff>142875</xdr:rowOff>
    </xdr:to>
    <xdr:cxnSp macro="">
      <xdr:nvCxnSpPr>
        <xdr:cNvPr id="96" name="Straight Arrow Connector 95">
          <a:extLst>
            <a:ext uri="{FF2B5EF4-FFF2-40B4-BE49-F238E27FC236}">
              <a16:creationId xmlns:a16="http://schemas.microsoft.com/office/drawing/2014/main" id="{00000000-0008-0000-0000-000060000000}"/>
            </a:ext>
          </a:extLst>
        </xdr:cNvPr>
        <xdr:cNvCxnSpPr/>
      </xdr:nvCxnSpPr>
      <xdr:spPr bwMode="auto">
        <a:xfrm>
          <a:off x="4976812" y="4250531"/>
          <a:ext cx="0" cy="416719"/>
        </a:xfrm>
        <a:prstGeom prst="straightConnector1">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editAs="oneCell">
    <xdr:from>
      <xdr:col>13</xdr:col>
      <xdr:colOff>0</xdr:colOff>
      <xdr:row>34</xdr:row>
      <xdr:rowOff>14290</xdr:rowOff>
    </xdr:from>
    <xdr:to>
      <xdr:col>14</xdr:col>
      <xdr:colOff>588168</xdr:colOff>
      <xdr:row>40</xdr:row>
      <xdr:rowOff>5640</xdr:rowOff>
    </xdr:to>
    <xdr:pic>
      <xdr:nvPicPr>
        <xdr:cNvPr id="99" name="Picture 98" descr="C:\Users\doane\AppData\Local\Microsoft\Windows\Temporary Internet Files\Content.IE5\3CB5N1BZ\MC900056988[1].wmf">
          <a:extLst>
            <a:ext uri="{FF2B5EF4-FFF2-40B4-BE49-F238E27FC236}">
              <a16:creationId xmlns:a16="http://schemas.microsoft.com/office/drawing/2014/main" id="{00000000-0008-0000-0000-000063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658100" y="5548315"/>
          <a:ext cx="1197768" cy="96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xdr:row>
      <xdr:rowOff>0</xdr:rowOff>
    </xdr:from>
    <xdr:to>
      <xdr:col>16</xdr:col>
      <xdr:colOff>256914</xdr:colOff>
      <xdr:row>15</xdr:row>
      <xdr:rowOff>123627</xdr:rowOff>
    </xdr:to>
    <xdr:pic>
      <xdr:nvPicPr>
        <xdr:cNvPr id="27" name="Picture 26">
          <a:extLst>
            <a:ext uri="{FF2B5EF4-FFF2-40B4-BE49-F238E27FC236}">
              <a16:creationId xmlns:a16="http://schemas.microsoft.com/office/drawing/2014/main" id="{28A909D7-F143-4B52-94F9-95B7EA5FDF91}"/>
            </a:ext>
          </a:extLst>
        </xdr:cNvPr>
        <xdr:cNvPicPr>
          <a:picLocks noChangeAspect="1"/>
        </xdr:cNvPicPr>
      </xdr:nvPicPr>
      <xdr:blipFill>
        <a:blip xmlns:r="http://schemas.openxmlformats.org/officeDocument/2006/relationships" r:embed="rId7"/>
        <a:stretch>
          <a:fillRect/>
        </a:stretch>
      </xdr:blipFill>
      <xdr:spPr>
        <a:xfrm>
          <a:off x="7658100" y="1000125"/>
          <a:ext cx="2085714" cy="15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133350</xdr:colOff>
      <xdr:row>1</xdr:row>
      <xdr:rowOff>0</xdr:rowOff>
    </xdr:from>
    <xdr:to>
      <xdr:col>11</xdr:col>
      <xdr:colOff>600075</xdr:colOff>
      <xdr:row>15</xdr:row>
      <xdr:rowOff>38100</xdr:rowOff>
    </xdr:to>
    <xdr:graphicFrame macro="">
      <xdr:nvGraphicFramePr>
        <xdr:cNvPr id="1034" name="Chart 1">
          <a:extLst>
            <a:ext uri="{FF2B5EF4-FFF2-40B4-BE49-F238E27FC236}">
              <a16:creationId xmlns:a16="http://schemas.microsoft.com/office/drawing/2014/main" id="{00000000-0008-0000-0100-00000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523875</xdr:colOff>
      <xdr:row>32</xdr:row>
      <xdr:rowOff>38100</xdr:rowOff>
    </xdr:from>
    <xdr:to>
      <xdr:col>12</xdr:col>
      <xdr:colOff>285750</xdr:colOff>
      <xdr:row>38</xdr:row>
      <xdr:rowOff>104775</xdr:rowOff>
    </xdr:to>
    <xdr:sp macro="" textlink="">
      <xdr:nvSpPr>
        <xdr:cNvPr id="1026" name="Text Box 2">
          <a:extLst>
            <a:ext uri="{FF2B5EF4-FFF2-40B4-BE49-F238E27FC236}">
              <a16:creationId xmlns:a16="http://schemas.microsoft.com/office/drawing/2014/main" id="{00000000-0008-0000-0100-000002040000}"/>
            </a:ext>
          </a:extLst>
        </xdr:cNvPr>
        <xdr:cNvSpPr txBox="1">
          <a:spLocks noChangeArrowheads="1"/>
        </xdr:cNvSpPr>
      </xdr:nvSpPr>
      <xdr:spPr bwMode="auto">
        <a:xfrm>
          <a:off x="2609850" y="5248275"/>
          <a:ext cx="4638675" cy="10382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Source</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 See Rick Hesse, "Box and Whiskers Plots," </a:t>
          </a:r>
          <a:r>
            <a:rPr lang="en-US" sz="1100" b="0" i="1" u="none" strike="noStrike" baseline="0">
              <a:solidFill>
                <a:sysClr val="windowText" lastClr="000000"/>
              </a:solidFill>
              <a:latin typeface="Times New Roman"/>
              <a:cs typeface="Times New Roman"/>
            </a:rPr>
            <a:t>Decision Line</a:t>
          </a:r>
          <a:r>
            <a:rPr lang="en-US" sz="1100" b="0" i="0" u="none" strike="noStrike" baseline="0">
              <a:solidFill>
                <a:sysClr val="windowText" lastClr="000000"/>
              </a:solidFill>
              <a:latin typeface="Times New Roman"/>
              <a:cs typeface="Times New Roman"/>
            </a:rPr>
            <a:t>, March, 1997, pp. 17-18.  You can change the display format of sample or quartiles to see more decimals.  Expected statistics are based on the normal distribution.  The min and max are </a:t>
          </a:r>
          <a:r>
            <a:rPr lang="en-US" sz="1100" b="0" i="1" u="none" strike="noStrike" baseline="0">
              <a:solidFill>
                <a:sysClr val="windowText" lastClr="000000"/>
              </a:solidFill>
              <a:latin typeface="Times New Roman"/>
              <a:cs typeface="Times New Roman"/>
            </a:rPr>
            <a:t>F</a:t>
          </a:r>
          <a:r>
            <a:rPr lang="en-US" sz="1100" b="0" i="0" u="none" strike="noStrike" baseline="30000">
              <a:solidFill>
                <a:sysClr val="windowText" lastClr="000000"/>
              </a:solidFill>
              <a:latin typeface="Times New Roman"/>
              <a:cs typeface="Times New Roman"/>
            </a:rPr>
            <a:t>-1</a:t>
          </a:r>
          <a:r>
            <a:rPr lang="en-US" sz="1100" b="0" i="0" u="none" strike="noStrike" baseline="0">
              <a:solidFill>
                <a:sysClr val="windowText" lastClr="000000"/>
              </a:solidFill>
              <a:latin typeface="Times New Roman"/>
              <a:cs typeface="Times New Roman"/>
            </a:rPr>
            <a:t>[(</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-0.5)/</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using </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 = 1,  </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 = 50, and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50.  For further explanation, see Ralph B. D'Agostino and Michael A. Stephens, </a:t>
          </a:r>
          <a:r>
            <a:rPr lang="en-US" sz="1100" b="0" i="1" u="none" strike="noStrike" baseline="0">
              <a:solidFill>
                <a:sysClr val="windowText" lastClr="000000"/>
              </a:solidFill>
              <a:latin typeface="Times New Roman"/>
              <a:cs typeface="Times New Roman"/>
            </a:rPr>
            <a:t>Goodness of Fit Techniques</a:t>
          </a:r>
          <a:r>
            <a:rPr lang="en-US" sz="1100" b="0" i="0" u="none" strike="noStrike" baseline="0">
              <a:solidFill>
                <a:sysClr val="windowText" lastClr="000000"/>
              </a:solidFill>
              <a:latin typeface="Times New Roman"/>
              <a:cs typeface="Times New Roman"/>
            </a:rPr>
            <a:t> (Marcel Dekker, Inc., 1986, p. 25.</a:t>
          </a:r>
        </a:p>
      </xdr:txBody>
    </xdr:sp>
    <xdr:clientData/>
  </xdr:twoCellAnchor>
  <xdr:twoCellAnchor>
    <xdr:from>
      <xdr:col>1</xdr:col>
      <xdr:colOff>209551</xdr:colOff>
      <xdr:row>1</xdr:row>
      <xdr:rowOff>38100</xdr:rowOff>
    </xdr:from>
    <xdr:to>
      <xdr:col>3</xdr:col>
      <xdr:colOff>76200</xdr:colOff>
      <xdr:row>3</xdr:row>
      <xdr:rowOff>95250</xdr:rowOff>
    </xdr:to>
    <xdr:sp macro="" textlink="">
      <xdr:nvSpPr>
        <xdr:cNvPr id="1027" name="Text Box 3">
          <a:extLst>
            <a:ext uri="{FF2B5EF4-FFF2-40B4-BE49-F238E27FC236}">
              <a16:creationId xmlns:a16="http://schemas.microsoft.com/office/drawing/2014/main" id="{00000000-0008-0000-0100-000003040000}"/>
            </a:ext>
          </a:extLst>
        </xdr:cNvPr>
        <xdr:cNvSpPr txBox="1">
          <a:spLocks noChangeArrowheads="1"/>
        </xdr:cNvSpPr>
      </xdr:nvSpPr>
      <xdr:spPr bwMode="auto">
        <a:xfrm>
          <a:off x="466726" y="228600"/>
          <a:ext cx="1085849" cy="381000"/>
        </a:xfrm>
        <a:prstGeom prst="rect">
          <a:avLst/>
        </a:prstGeom>
        <a:solidFill>
          <a:schemeClr val="accent6">
            <a:lumMod val="75000"/>
          </a:schemeClr>
        </a:solidFill>
        <a:ln w="9525">
          <a:solidFill>
            <a:srgbClr val="000000"/>
          </a:solidFill>
          <a:miter lim="800000"/>
          <a:headEnd/>
          <a:tailEnd/>
        </a:ln>
        <a:effectLst/>
      </xdr:spPr>
      <xdr:txBody>
        <a:bodyPr vertOverflow="clip" wrap="square" lIns="27432" tIns="22860" rIns="0" bIns="0" anchor="t" upright="1"/>
        <a:lstStyle/>
        <a:p>
          <a:pPr algn="ctr" rtl="0">
            <a:defRPr sz="1000"/>
          </a:pPr>
          <a:r>
            <a:rPr lang="en-US" sz="1000" b="1" i="0" u="none" strike="noStrike" baseline="0">
              <a:solidFill>
                <a:schemeClr val="bg1"/>
              </a:solidFill>
              <a:latin typeface="Calibri" pitchFamily="34" charset="0"/>
              <a:cs typeface="Times New Roman"/>
            </a:rPr>
            <a:t>Press F9 </a:t>
          </a:r>
          <a:r>
            <a:rPr lang="en-US" sz="1100" b="1" i="0" u="none" strike="noStrike" baseline="0">
              <a:solidFill>
                <a:schemeClr val="bg1"/>
              </a:solidFill>
              <a:latin typeface="Calibri" pitchFamily="34" charset="0"/>
              <a:cs typeface="Times New Roman"/>
            </a:rPr>
            <a:t>for</a:t>
          </a:r>
          <a:r>
            <a:rPr lang="en-US" sz="1000" b="1" i="0" u="none" strike="noStrike" baseline="0">
              <a:solidFill>
                <a:schemeClr val="bg1"/>
              </a:solidFill>
              <a:latin typeface="Calibri" pitchFamily="34" charset="0"/>
              <a:cs typeface="Times New Roman"/>
            </a:rPr>
            <a:t> a new sample.</a:t>
          </a:r>
        </a:p>
      </xdr:txBody>
    </xdr:sp>
    <xdr:clientData/>
  </xdr:twoCellAnchor>
  <xdr:twoCellAnchor>
    <xdr:from>
      <xdr:col>13</xdr:col>
      <xdr:colOff>47624</xdr:colOff>
      <xdr:row>0</xdr:row>
      <xdr:rowOff>161926</xdr:rowOff>
    </xdr:from>
    <xdr:to>
      <xdr:col>15</xdr:col>
      <xdr:colOff>485775</xdr:colOff>
      <xdr:row>3</xdr:row>
      <xdr:rowOff>57150</xdr:rowOff>
    </xdr:to>
    <xdr:sp macro="" textlink="">
      <xdr:nvSpPr>
        <xdr:cNvPr id="1029" name="Text Box 5">
          <a:extLst>
            <a:ext uri="{FF2B5EF4-FFF2-40B4-BE49-F238E27FC236}">
              <a16:creationId xmlns:a16="http://schemas.microsoft.com/office/drawing/2014/main" id="{00000000-0008-0000-0100-000005040000}"/>
            </a:ext>
          </a:extLst>
        </xdr:cNvPr>
        <xdr:cNvSpPr txBox="1">
          <a:spLocks noChangeArrowheads="1"/>
        </xdr:cNvSpPr>
      </xdr:nvSpPr>
      <xdr:spPr bwMode="auto">
        <a:xfrm>
          <a:off x="7619999" y="161926"/>
          <a:ext cx="1657351" cy="409574"/>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Arial"/>
              <a:cs typeface="Arial"/>
            </a:rPr>
            <a:t>Note</a:t>
          </a:r>
          <a:r>
            <a:rPr lang="en-US" sz="1100" b="0" i="0" u="none" strike="noStrike" baseline="0">
              <a:solidFill>
                <a:schemeClr val="tx1"/>
              </a:solidFill>
              <a:latin typeface="Arial"/>
              <a:cs typeface="Arial"/>
            </a:rPr>
            <a:t>  You can change the mean and st. dev.</a:t>
          </a:r>
        </a:p>
      </xdr:txBody>
    </xdr:sp>
    <xdr:clientData/>
  </xdr:twoCellAnchor>
  <xdr:twoCellAnchor>
    <xdr:from>
      <xdr:col>12</xdr:col>
      <xdr:colOff>200025</xdr:colOff>
      <xdr:row>0</xdr:row>
      <xdr:rowOff>161925</xdr:rowOff>
    </xdr:from>
    <xdr:to>
      <xdr:col>12</xdr:col>
      <xdr:colOff>495300</xdr:colOff>
      <xdr:row>3</xdr:row>
      <xdr:rowOff>95250</xdr:rowOff>
    </xdr:to>
    <xdr:sp macro="" textlink="">
      <xdr:nvSpPr>
        <xdr:cNvPr id="1038" name="AutoShape 6">
          <a:extLst>
            <a:ext uri="{FF2B5EF4-FFF2-40B4-BE49-F238E27FC236}">
              <a16:creationId xmlns:a16="http://schemas.microsoft.com/office/drawing/2014/main" id="{00000000-0008-0000-0100-00000E040000}"/>
            </a:ext>
          </a:extLst>
        </xdr:cNvPr>
        <xdr:cNvSpPr>
          <a:spLocks noChangeArrowheads="1"/>
        </xdr:cNvSpPr>
      </xdr:nvSpPr>
      <xdr:spPr bwMode="auto">
        <a:xfrm>
          <a:off x="7162800" y="161925"/>
          <a:ext cx="295275" cy="447675"/>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4</xdr:col>
      <xdr:colOff>495300</xdr:colOff>
      <xdr:row>20</xdr:row>
      <xdr:rowOff>38100</xdr:rowOff>
    </xdr:from>
    <xdr:to>
      <xdr:col>12</xdr:col>
      <xdr:colOff>323849</xdr:colOff>
      <xdr:row>31</xdr:row>
      <xdr:rowOff>38101</xdr:rowOff>
    </xdr:to>
    <xdr:sp macro="" textlink="">
      <xdr:nvSpPr>
        <xdr:cNvPr id="1031" name="Text Box 7">
          <a:extLst>
            <a:ext uri="{FF2B5EF4-FFF2-40B4-BE49-F238E27FC236}">
              <a16:creationId xmlns:a16="http://schemas.microsoft.com/office/drawing/2014/main" id="{00000000-0008-0000-0100-000007040000}"/>
            </a:ext>
          </a:extLst>
        </xdr:cNvPr>
        <xdr:cNvSpPr txBox="1">
          <a:spLocks noChangeArrowheads="1"/>
        </xdr:cNvSpPr>
      </xdr:nvSpPr>
      <xdr:spPr bwMode="auto">
        <a:xfrm>
          <a:off x="2581275" y="3305175"/>
          <a:ext cx="4705349" cy="1781176"/>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Exercises</a:t>
          </a:r>
          <a:r>
            <a:rPr lang="en-US" sz="1100" b="1" i="0" u="none" strike="noStrike" baseline="0">
              <a:solidFill>
                <a:schemeClr val="accent5">
                  <a:lumMod val="50000"/>
                </a:schemeClr>
              </a:solidFill>
              <a:latin typeface="Times New Roman"/>
              <a:cs typeface="Times New Roman"/>
            </a:rPr>
            <a:t> </a:t>
          </a:r>
          <a:r>
            <a:rPr lang="en-US" sz="1100" b="1" i="0" u="none" strike="noStrike" baseline="0">
              <a:solidFill>
                <a:sysClr val="windowText" lastClr="000000"/>
              </a:solidFill>
              <a:latin typeface="Times New Roman"/>
              <a:cs typeface="Times New Roman"/>
            </a:rPr>
            <a:t> </a:t>
          </a:r>
          <a:r>
            <a:rPr lang="en-US" sz="1100" b="0" i="0" u="none" strike="noStrike" baseline="0">
              <a:solidFill>
                <a:sysClr val="windowText" lastClr="000000"/>
              </a:solidFill>
              <a:latin typeface="Times New Roman"/>
              <a:cs typeface="Times New Roman"/>
            </a:rPr>
            <a:t>(1) Examine the normal boxplot (shown in blue).  In a normal distrbution, the quartiles are </a:t>
          </a:r>
          <a:r>
            <a:rPr lang="en-US" sz="1100" b="0" i="0" u="none" strike="noStrike" baseline="0">
              <a:solidFill>
                <a:sysClr val="windowText" lastClr="000000"/>
              </a:solidFill>
              <a:latin typeface="Symbol"/>
            </a:rPr>
            <a:t></a:t>
          </a:r>
          <a:r>
            <a:rPr lang="en-US" sz="1100" b="0" i="0" u="none" strike="noStrike" baseline="0">
              <a:solidFill>
                <a:sysClr val="windowText" lastClr="000000"/>
              </a:solidFill>
              <a:latin typeface="Times New Roman"/>
              <a:cs typeface="Times New Roman"/>
            </a:rPr>
            <a:t> 0.675 standard deviations from the mean, so the box is narrower than the range.  Is this true in most of the samples, as you press F9 a few times?  (2) As you press F9 a few times, compare the sample quartiles (shown in red) to the normal boxplot (shown in blue).  How stable are the quartiles from sample to sample?  (3) Watch the end points of the sample boxplot as you press F9  a few times.  Are the end points more or less stable than the quartiles?  (4) In general, did your samples usually resemble the normal population boxplot?  (4) press F9 ten times.  What percentage of the time did you get a boxplot that definitely did </a:t>
          </a:r>
          <a:r>
            <a:rPr lang="en-US" sz="1100" b="0" i="1" u="none" strike="noStrike" baseline="0">
              <a:solidFill>
                <a:sysClr val="windowText" lastClr="000000"/>
              </a:solidFill>
              <a:latin typeface="Times New Roman"/>
              <a:cs typeface="Times New Roman"/>
            </a:rPr>
            <a:t>not</a:t>
          </a:r>
          <a:r>
            <a:rPr lang="en-US" sz="1100" b="0" i="0" u="none" strike="noStrike" baseline="0">
              <a:solidFill>
                <a:sysClr val="windowText" lastClr="000000"/>
              </a:solidFill>
              <a:latin typeface="Times New Roman"/>
              <a:cs typeface="Times New Roman"/>
            </a:rPr>
            <a:t> look like the normal boxplot?  What is the implication?</a:t>
          </a:r>
        </a:p>
      </xdr:txBody>
    </xdr:sp>
    <xdr:clientData/>
  </xdr:twoCellAnchor>
  <xdr:twoCellAnchor editAs="oneCell">
    <xdr:from>
      <xdr:col>12</xdr:col>
      <xdr:colOff>428625</xdr:colOff>
      <xdr:row>4</xdr:row>
      <xdr:rowOff>19050</xdr:rowOff>
    </xdr:from>
    <xdr:to>
      <xdr:col>16</xdr:col>
      <xdr:colOff>75939</xdr:colOff>
      <xdr:row>13</xdr:row>
      <xdr:rowOff>142677</xdr:rowOff>
    </xdr:to>
    <xdr:pic>
      <xdr:nvPicPr>
        <xdr:cNvPr id="9" name="Picture 8">
          <a:extLst>
            <a:ext uri="{FF2B5EF4-FFF2-40B4-BE49-F238E27FC236}">
              <a16:creationId xmlns:a16="http://schemas.microsoft.com/office/drawing/2014/main" id="{FB72A80E-3BEF-4035-8C9C-ACFDB86E5C9B}"/>
            </a:ext>
          </a:extLst>
        </xdr:cNvPr>
        <xdr:cNvPicPr>
          <a:picLocks noChangeAspect="1"/>
        </xdr:cNvPicPr>
      </xdr:nvPicPr>
      <xdr:blipFill>
        <a:blip xmlns:r="http://schemas.openxmlformats.org/officeDocument/2006/relationships" r:embed="rId2"/>
        <a:stretch>
          <a:fillRect/>
        </a:stretch>
      </xdr:blipFill>
      <xdr:spPr>
        <a:xfrm>
          <a:off x="7391400" y="695325"/>
          <a:ext cx="2085714" cy="1580952"/>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0.25836</cdr:x>
      <cdr:y>0.0303</cdr:y>
    </cdr:from>
    <cdr:to>
      <cdr:x>0.7299</cdr:x>
      <cdr:y>0.1281</cdr:y>
    </cdr:to>
    <cdr:sp macro="" textlink="">
      <cdr:nvSpPr>
        <cdr:cNvPr id="2" name="TextBox 1"/>
        <cdr:cNvSpPr txBox="1"/>
      </cdr:nvSpPr>
      <cdr:spPr>
        <a:xfrm xmlns:a="http://schemas.openxmlformats.org/drawingml/2006/main">
          <a:off x="908050" y="69850"/>
          <a:ext cx="1657350" cy="2254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solidFill>
                <a:srgbClr val="0000CC"/>
              </a:solidFill>
            </a:rPr>
            <a:t>Normal Population</a:t>
          </a:r>
        </a:p>
      </cdr:txBody>
    </cdr:sp>
  </cdr:relSizeAnchor>
  <cdr:relSizeAnchor xmlns:cdr="http://schemas.openxmlformats.org/drawingml/2006/chartDrawing">
    <cdr:from>
      <cdr:x>0.36495</cdr:x>
      <cdr:y>0.41598</cdr:y>
    </cdr:from>
    <cdr:to>
      <cdr:x>0.64408</cdr:x>
      <cdr:y>0.50276</cdr:y>
    </cdr:to>
    <cdr:sp macro="" textlink="">
      <cdr:nvSpPr>
        <cdr:cNvPr id="3" name="TextBox 1"/>
        <cdr:cNvSpPr txBox="1"/>
      </cdr:nvSpPr>
      <cdr:spPr>
        <a:xfrm xmlns:a="http://schemas.openxmlformats.org/drawingml/2006/main">
          <a:off x="1282700" y="958851"/>
          <a:ext cx="981075" cy="2000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solidFill>
                <a:srgbClr val="FF0000"/>
              </a:solidFill>
            </a:rPr>
            <a:t>Sample</a:t>
          </a:r>
        </a:p>
      </cdr:txBody>
    </cdr:sp>
  </cdr:relSizeAnchor>
</c:userShapes>
</file>

<file path=xl/drawings/drawing4.xml><?xml version="1.0" encoding="utf-8"?>
<xdr:wsDr xmlns:xdr="http://schemas.openxmlformats.org/drawingml/2006/spreadsheetDrawing" xmlns:a="http://schemas.openxmlformats.org/drawingml/2006/main">
  <xdr:twoCellAnchor>
    <xdr:from>
      <xdr:col>6</xdr:col>
      <xdr:colOff>161925</xdr:colOff>
      <xdr:row>1</xdr:row>
      <xdr:rowOff>0</xdr:rowOff>
    </xdr:from>
    <xdr:to>
      <xdr:col>12</xdr:col>
      <xdr:colOff>19050</xdr:colOff>
      <xdr:row>15</xdr:row>
      <xdr:rowOff>38100</xdr:rowOff>
    </xdr:to>
    <xdr:graphicFrame macro="">
      <xdr:nvGraphicFramePr>
        <xdr:cNvPr id="2058" name="Chart 1">
          <a:extLst>
            <a:ext uri="{FF2B5EF4-FFF2-40B4-BE49-F238E27FC236}">
              <a16:creationId xmlns:a16="http://schemas.microsoft.com/office/drawing/2014/main" id="{00000000-0008-0000-0200-00000A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76199</xdr:colOff>
      <xdr:row>0</xdr:row>
      <xdr:rowOff>85725</xdr:rowOff>
    </xdr:from>
    <xdr:to>
      <xdr:col>15</xdr:col>
      <xdr:colOff>457200</xdr:colOff>
      <xdr:row>3</xdr:row>
      <xdr:rowOff>19050</xdr:rowOff>
    </xdr:to>
    <xdr:sp macro="" textlink="">
      <xdr:nvSpPr>
        <xdr:cNvPr id="2053" name="Text Box 5">
          <a:extLst>
            <a:ext uri="{FF2B5EF4-FFF2-40B4-BE49-F238E27FC236}">
              <a16:creationId xmlns:a16="http://schemas.microsoft.com/office/drawing/2014/main" id="{00000000-0008-0000-0200-000005080000}"/>
            </a:ext>
          </a:extLst>
        </xdr:cNvPr>
        <xdr:cNvSpPr txBox="1">
          <a:spLocks noChangeArrowheads="1"/>
        </xdr:cNvSpPr>
      </xdr:nvSpPr>
      <xdr:spPr bwMode="auto">
        <a:xfrm>
          <a:off x="7858124" y="85725"/>
          <a:ext cx="1600201" cy="4476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Arial"/>
              <a:cs typeface="Arial"/>
            </a:rPr>
            <a:t>Note</a:t>
          </a:r>
          <a:r>
            <a:rPr lang="en-US" sz="1100" b="0" i="0" u="none" strike="noStrike" baseline="0">
              <a:solidFill>
                <a:srgbClr val="C00000"/>
              </a:solidFill>
              <a:latin typeface="Arial"/>
              <a:cs typeface="Arial"/>
            </a:rPr>
            <a:t> </a:t>
          </a:r>
          <a:r>
            <a:rPr lang="en-US" sz="1100" b="0" i="0" u="none" strike="noStrike" baseline="0">
              <a:solidFill>
                <a:sysClr val="windowText" lastClr="000000"/>
              </a:solidFill>
              <a:latin typeface="Arial"/>
              <a:cs typeface="Arial"/>
            </a:rPr>
            <a:t> You can change the min and max.</a:t>
          </a:r>
        </a:p>
      </xdr:txBody>
    </xdr:sp>
    <xdr:clientData/>
  </xdr:twoCellAnchor>
  <xdr:twoCellAnchor>
    <xdr:from>
      <xdr:col>5</xdr:col>
      <xdr:colOff>47624</xdr:colOff>
      <xdr:row>19</xdr:row>
      <xdr:rowOff>133350</xdr:rowOff>
    </xdr:from>
    <xdr:to>
      <xdr:col>12</xdr:col>
      <xdr:colOff>342899</xdr:colOff>
      <xdr:row>29</xdr:row>
      <xdr:rowOff>66675</xdr:rowOff>
    </xdr:to>
    <xdr:sp macro="" textlink="">
      <xdr:nvSpPr>
        <xdr:cNvPr id="2054" name="Text Box 6">
          <a:extLst>
            <a:ext uri="{FF2B5EF4-FFF2-40B4-BE49-F238E27FC236}">
              <a16:creationId xmlns:a16="http://schemas.microsoft.com/office/drawing/2014/main" id="{00000000-0008-0000-0200-000006080000}"/>
            </a:ext>
          </a:extLst>
        </xdr:cNvPr>
        <xdr:cNvSpPr txBox="1">
          <a:spLocks noChangeArrowheads="1"/>
        </xdr:cNvSpPr>
      </xdr:nvSpPr>
      <xdr:spPr bwMode="auto">
        <a:xfrm>
          <a:off x="2743199" y="3238500"/>
          <a:ext cx="4562475" cy="1552575"/>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Exercises</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chemeClr val="tx1"/>
              </a:solidFill>
              <a:latin typeface="Times New Roman"/>
              <a:cs typeface="Times New Roman"/>
            </a:rPr>
            <a:t>(1) Examine the uniform boxplot (shown in blue).  How is the position of the quartiles and end points determined?  (2) As you press F9 a few times, compare the sample quartiles (shown in red) to the uniform boxplot (shown in blue).  How stable are the quartiles from sample to sample?  (3) Watch the end points of the sample boxplot as you press F9  a few times.  Are the end points more or less stable than the quartiles?  (4) In general, did your samples </a:t>
          </a:r>
          <a:r>
            <a:rPr lang="en-US" sz="1100" b="0" i="1" u="none" strike="noStrike" baseline="0">
              <a:solidFill>
                <a:schemeClr val="tx1"/>
              </a:solidFill>
              <a:latin typeface="Times New Roman"/>
              <a:cs typeface="Times New Roman"/>
            </a:rPr>
            <a:t>usually</a:t>
          </a:r>
          <a:r>
            <a:rPr lang="en-US" sz="1100" b="0" i="0" u="none" strike="noStrike" baseline="0">
              <a:solidFill>
                <a:schemeClr val="tx1"/>
              </a:solidFill>
              <a:latin typeface="Times New Roman"/>
              <a:cs typeface="Times New Roman"/>
            </a:rPr>
            <a:t> resemble the expected uniform boxplot?  (5) press F9 ten times.  What percentage of the time did you get a boxplot that definitely did </a:t>
          </a:r>
          <a:r>
            <a:rPr lang="en-US" sz="1100" b="0" i="1" u="none" strike="noStrike" baseline="0">
              <a:solidFill>
                <a:schemeClr val="tx1"/>
              </a:solidFill>
              <a:latin typeface="Times New Roman"/>
              <a:cs typeface="Times New Roman"/>
            </a:rPr>
            <a:t>not</a:t>
          </a:r>
          <a:r>
            <a:rPr lang="en-US" sz="1100" b="0" i="0" u="none" strike="noStrike" baseline="0">
              <a:solidFill>
                <a:schemeClr val="tx1"/>
              </a:solidFill>
              <a:latin typeface="Times New Roman"/>
              <a:cs typeface="Times New Roman"/>
            </a:rPr>
            <a:t> look like the uniform boxplot?  What is the implication?</a:t>
          </a:r>
        </a:p>
      </xdr:txBody>
    </xdr:sp>
    <xdr:clientData/>
  </xdr:twoCellAnchor>
  <xdr:twoCellAnchor>
    <xdr:from>
      <xdr:col>12</xdr:col>
      <xdr:colOff>247650</xdr:colOff>
      <xdr:row>0</xdr:row>
      <xdr:rowOff>95250</xdr:rowOff>
    </xdr:from>
    <xdr:to>
      <xdr:col>12</xdr:col>
      <xdr:colOff>542925</xdr:colOff>
      <xdr:row>3</xdr:row>
      <xdr:rowOff>28575</xdr:rowOff>
    </xdr:to>
    <xdr:sp macro="" textlink="">
      <xdr:nvSpPr>
        <xdr:cNvPr id="2063" name="AutoShape 7">
          <a:extLst>
            <a:ext uri="{FF2B5EF4-FFF2-40B4-BE49-F238E27FC236}">
              <a16:creationId xmlns:a16="http://schemas.microsoft.com/office/drawing/2014/main" id="{00000000-0008-0000-0200-00000F080000}"/>
            </a:ext>
          </a:extLst>
        </xdr:cNvPr>
        <xdr:cNvSpPr>
          <a:spLocks noChangeArrowheads="1"/>
        </xdr:cNvSpPr>
      </xdr:nvSpPr>
      <xdr:spPr bwMode="auto">
        <a:xfrm>
          <a:off x="7210425" y="95250"/>
          <a:ext cx="295275" cy="447675"/>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1</xdr:col>
      <xdr:colOff>104775</xdr:colOff>
      <xdr:row>1</xdr:row>
      <xdr:rowOff>57150</xdr:rowOff>
    </xdr:from>
    <xdr:to>
      <xdr:col>2</xdr:col>
      <xdr:colOff>581024</xdr:colOff>
      <xdr:row>3</xdr:row>
      <xdr:rowOff>114300</xdr:rowOff>
    </xdr:to>
    <xdr:sp macro="" textlink="">
      <xdr:nvSpPr>
        <xdr:cNvPr id="10" name="Text Box 3">
          <a:extLst>
            <a:ext uri="{FF2B5EF4-FFF2-40B4-BE49-F238E27FC236}">
              <a16:creationId xmlns:a16="http://schemas.microsoft.com/office/drawing/2014/main" id="{00000000-0008-0000-0200-00000A000000}"/>
            </a:ext>
          </a:extLst>
        </xdr:cNvPr>
        <xdr:cNvSpPr txBox="1">
          <a:spLocks noChangeArrowheads="1"/>
        </xdr:cNvSpPr>
      </xdr:nvSpPr>
      <xdr:spPr bwMode="auto">
        <a:xfrm>
          <a:off x="361950" y="247650"/>
          <a:ext cx="1085849" cy="381000"/>
        </a:xfrm>
        <a:prstGeom prst="rect">
          <a:avLst/>
        </a:prstGeom>
        <a:solidFill>
          <a:schemeClr val="accent6">
            <a:lumMod val="75000"/>
          </a:schemeClr>
        </a:solidFill>
        <a:ln w="9525">
          <a:solidFill>
            <a:srgbClr val="000000"/>
          </a:solidFill>
          <a:miter lim="800000"/>
          <a:headEnd/>
          <a:tailEnd/>
        </a:ln>
        <a:effectLst/>
      </xdr:spPr>
      <xdr:txBody>
        <a:bodyPr vertOverflow="clip" wrap="square" lIns="27432" tIns="22860" rIns="0" bIns="0" anchor="t" upright="1"/>
        <a:lstStyle/>
        <a:p>
          <a:pPr algn="ctr" rtl="0">
            <a:defRPr sz="1000"/>
          </a:pPr>
          <a:r>
            <a:rPr lang="en-US" sz="1100" b="1" i="0" u="none" strike="noStrike" baseline="0">
              <a:solidFill>
                <a:schemeClr val="bg1"/>
              </a:solidFill>
              <a:latin typeface="Calibri" pitchFamily="34" charset="0"/>
              <a:cs typeface="Times New Roman"/>
            </a:rPr>
            <a:t>Press F9 for a new sample.</a:t>
          </a:r>
        </a:p>
      </xdr:txBody>
    </xdr:sp>
    <xdr:clientData/>
  </xdr:twoCellAnchor>
  <xdr:twoCellAnchor>
    <xdr:from>
      <xdr:col>5</xdr:col>
      <xdr:colOff>95251</xdr:colOff>
      <xdr:row>30</xdr:row>
      <xdr:rowOff>66675</xdr:rowOff>
    </xdr:from>
    <xdr:to>
      <xdr:col>12</xdr:col>
      <xdr:colOff>285751</xdr:colOff>
      <xdr:row>36</xdr:row>
      <xdr:rowOff>133350</xdr:rowOff>
    </xdr:to>
    <xdr:sp macro="" textlink="">
      <xdr:nvSpPr>
        <xdr:cNvPr id="11" name="Text Box 2">
          <a:extLst>
            <a:ext uri="{FF2B5EF4-FFF2-40B4-BE49-F238E27FC236}">
              <a16:creationId xmlns:a16="http://schemas.microsoft.com/office/drawing/2014/main" id="{00000000-0008-0000-0200-00000B000000}"/>
            </a:ext>
          </a:extLst>
        </xdr:cNvPr>
        <xdr:cNvSpPr txBox="1">
          <a:spLocks noChangeArrowheads="1"/>
        </xdr:cNvSpPr>
      </xdr:nvSpPr>
      <xdr:spPr bwMode="auto">
        <a:xfrm>
          <a:off x="2790826" y="4953000"/>
          <a:ext cx="4667250" cy="10382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Source</a:t>
          </a:r>
          <a:r>
            <a:rPr lang="en-US" sz="1100" b="0" i="0" u="none" strike="noStrike" baseline="0">
              <a:solidFill>
                <a:srgbClr val="C00000"/>
              </a:solidFill>
              <a:latin typeface="Times New Roman"/>
              <a:cs typeface="Times New Roman"/>
            </a:rPr>
            <a:t> </a:t>
          </a:r>
          <a:r>
            <a:rPr lang="en-US" sz="1100" b="0" i="0" u="none" strike="noStrike" baseline="0">
              <a:solidFill>
                <a:sysClr val="windowText" lastClr="000000"/>
              </a:solidFill>
              <a:latin typeface="Times New Roman"/>
              <a:cs typeface="Times New Roman"/>
            </a:rPr>
            <a:t> See Rick Hesse, "Box and Whiskers Plots," </a:t>
          </a:r>
          <a:r>
            <a:rPr lang="en-US" sz="1100" b="0" i="1" u="none" strike="noStrike" baseline="0">
              <a:solidFill>
                <a:sysClr val="windowText" lastClr="000000"/>
              </a:solidFill>
              <a:latin typeface="Times New Roman"/>
              <a:cs typeface="Times New Roman"/>
            </a:rPr>
            <a:t>Decision Line</a:t>
          </a:r>
          <a:r>
            <a:rPr lang="en-US" sz="1100" b="0" i="0" u="none" strike="noStrike" baseline="0">
              <a:solidFill>
                <a:sysClr val="windowText" lastClr="000000"/>
              </a:solidFill>
              <a:latin typeface="Times New Roman"/>
              <a:cs typeface="Times New Roman"/>
            </a:rPr>
            <a:t>, March, 1997, pp. 17-18.  You can change the display format of sample or quartiles to see more decimals.  Expected statistics are based on the normal distribution.  The min and max are </a:t>
          </a:r>
          <a:r>
            <a:rPr lang="en-US" sz="1100" b="0" i="1" u="none" strike="noStrike" baseline="0">
              <a:solidFill>
                <a:sysClr val="windowText" lastClr="000000"/>
              </a:solidFill>
              <a:latin typeface="Times New Roman"/>
              <a:cs typeface="Times New Roman"/>
            </a:rPr>
            <a:t>F</a:t>
          </a:r>
          <a:r>
            <a:rPr lang="en-US" sz="1100" b="0" i="0" u="none" strike="noStrike" baseline="30000">
              <a:solidFill>
                <a:sysClr val="windowText" lastClr="000000"/>
              </a:solidFill>
              <a:latin typeface="Times New Roman"/>
              <a:cs typeface="Times New Roman"/>
            </a:rPr>
            <a:t>-1</a:t>
          </a:r>
          <a:r>
            <a:rPr lang="en-US" sz="1100" b="0" i="0" u="none" strike="noStrike" baseline="0">
              <a:solidFill>
                <a:sysClr val="windowText" lastClr="000000"/>
              </a:solidFill>
              <a:latin typeface="Times New Roman"/>
              <a:cs typeface="Times New Roman"/>
            </a:rPr>
            <a:t>[(</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-0.5)/</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using </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 = 1,  </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 = 50, and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50.  For further explanation, see Ralph B. D'Agostino and Michael A. Stephens, </a:t>
          </a:r>
          <a:r>
            <a:rPr lang="en-US" sz="1100" b="0" i="1" u="none" strike="noStrike" baseline="0">
              <a:solidFill>
                <a:sysClr val="windowText" lastClr="000000"/>
              </a:solidFill>
              <a:latin typeface="Times New Roman"/>
              <a:cs typeface="Times New Roman"/>
            </a:rPr>
            <a:t>Goodness of Fit Techniques</a:t>
          </a:r>
          <a:r>
            <a:rPr lang="en-US" sz="1100" b="0" i="0" u="none" strike="noStrike" baseline="0">
              <a:solidFill>
                <a:sysClr val="windowText" lastClr="000000"/>
              </a:solidFill>
              <a:latin typeface="Times New Roman"/>
              <a:cs typeface="Times New Roman"/>
            </a:rPr>
            <a:t> (Marcel Dekker, Inc., 1986, p. 25.</a:t>
          </a:r>
        </a:p>
      </xdr:txBody>
    </xdr:sp>
    <xdr:clientData/>
  </xdr:twoCellAnchor>
  <xdr:twoCellAnchor editAs="oneCell">
    <xdr:from>
      <xdr:col>13</xdr:col>
      <xdr:colOff>0</xdr:colOff>
      <xdr:row>4</xdr:row>
      <xdr:rowOff>0</xdr:rowOff>
    </xdr:from>
    <xdr:to>
      <xdr:col>16</xdr:col>
      <xdr:colOff>256914</xdr:colOff>
      <xdr:row>13</xdr:row>
      <xdr:rowOff>123627</xdr:rowOff>
    </xdr:to>
    <xdr:pic>
      <xdr:nvPicPr>
        <xdr:cNvPr id="9" name="Picture 8">
          <a:extLst>
            <a:ext uri="{FF2B5EF4-FFF2-40B4-BE49-F238E27FC236}">
              <a16:creationId xmlns:a16="http://schemas.microsoft.com/office/drawing/2014/main" id="{47CA03EC-351A-4CB1-BEAE-359B531949A7}"/>
            </a:ext>
          </a:extLst>
        </xdr:cNvPr>
        <xdr:cNvPicPr>
          <a:picLocks noChangeAspect="1"/>
        </xdr:cNvPicPr>
      </xdr:nvPicPr>
      <xdr:blipFill>
        <a:blip xmlns:r="http://schemas.openxmlformats.org/officeDocument/2006/relationships" r:embed="rId2"/>
        <a:stretch>
          <a:fillRect/>
        </a:stretch>
      </xdr:blipFill>
      <xdr:spPr>
        <a:xfrm>
          <a:off x="7781925" y="676275"/>
          <a:ext cx="2085714" cy="1580952"/>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0.28726</cdr:x>
      <cdr:y>0.0427</cdr:y>
    </cdr:from>
    <cdr:to>
      <cdr:x>0.75881</cdr:x>
      <cdr:y>0.1405</cdr:y>
    </cdr:to>
    <cdr:sp macro="" textlink="">
      <cdr:nvSpPr>
        <cdr:cNvPr id="2" name="TextBox 1"/>
        <cdr:cNvSpPr txBox="1"/>
      </cdr:nvSpPr>
      <cdr:spPr>
        <a:xfrm xmlns:a="http://schemas.openxmlformats.org/drawingml/2006/main">
          <a:off x="1009650" y="98424"/>
          <a:ext cx="1657350" cy="2254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solidFill>
                <a:srgbClr val="0000CC"/>
              </a:solidFill>
            </a:rPr>
            <a:t>Uniform Population</a:t>
          </a:r>
        </a:p>
      </cdr:txBody>
    </cdr:sp>
  </cdr:relSizeAnchor>
  <cdr:relSizeAnchor xmlns:cdr="http://schemas.openxmlformats.org/drawingml/2006/chartDrawing">
    <cdr:from>
      <cdr:x>0.38573</cdr:x>
      <cdr:y>0.41598</cdr:y>
    </cdr:from>
    <cdr:to>
      <cdr:x>0.66486</cdr:x>
      <cdr:y>0.50275</cdr:y>
    </cdr:to>
    <cdr:sp macro="" textlink="">
      <cdr:nvSpPr>
        <cdr:cNvPr id="3" name="TextBox 1"/>
        <cdr:cNvSpPr txBox="1"/>
      </cdr:nvSpPr>
      <cdr:spPr>
        <a:xfrm xmlns:a="http://schemas.openxmlformats.org/drawingml/2006/main">
          <a:off x="1355725" y="958850"/>
          <a:ext cx="981075" cy="2000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100">
              <a:solidFill>
                <a:srgbClr val="FF0000"/>
              </a:solidFill>
            </a:rPr>
            <a:t>Sample</a:t>
          </a:r>
        </a:p>
      </cdr:txBody>
    </cdr:sp>
  </cdr:relSizeAnchor>
</c:userShapes>
</file>

<file path=xl/drawings/drawing6.xml><?xml version="1.0" encoding="utf-8"?>
<xdr:wsDr xmlns:xdr="http://schemas.openxmlformats.org/drawingml/2006/spreadsheetDrawing" xmlns:a="http://schemas.openxmlformats.org/drawingml/2006/main">
  <xdr:twoCellAnchor>
    <xdr:from>
      <xdr:col>6</xdr:col>
      <xdr:colOff>161925</xdr:colOff>
      <xdr:row>1</xdr:row>
      <xdr:rowOff>19050</xdr:rowOff>
    </xdr:from>
    <xdr:to>
      <xdr:col>12</xdr:col>
      <xdr:colOff>19050</xdr:colOff>
      <xdr:row>15</xdr:row>
      <xdr:rowOff>57150</xdr:rowOff>
    </xdr:to>
    <xdr:graphicFrame macro="">
      <xdr:nvGraphicFramePr>
        <xdr:cNvPr id="7180" name="Chart 1">
          <a:extLst>
            <a:ext uri="{FF2B5EF4-FFF2-40B4-BE49-F238E27FC236}">
              <a16:creationId xmlns:a16="http://schemas.microsoft.com/office/drawing/2014/main" id="{00000000-0008-0000-0300-00000C1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238125</xdr:colOff>
      <xdr:row>0</xdr:row>
      <xdr:rowOff>161925</xdr:rowOff>
    </xdr:from>
    <xdr:to>
      <xdr:col>12</xdr:col>
      <xdr:colOff>533400</xdr:colOff>
      <xdr:row>3</xdr:row>
      <xdr:rowOff>95250</xdr:rowOff>
    </xdr:to>
    <xdr:sp macro="" textlink="">
      <xdr:nvSpPr>
        <xdr:cNvPr id="7183" name="AutoShape 6">
          <a:extLst>
            <a:ext uri="{FF2B5EF4-FFF2-40B4-BE49-F238E27FC236}">
              <a16:creationId xmlns:a16="http://schemas.microsoft.com/office/drawing/2014/main" id="{00000000-0008-0000-0300-00000F1C0000}"/>
            </a:ext>
          </a:extLst>
        </xdr:cNvPr>
        <xdr:cNvSpPr>
          <a:spLocks noChangeArrowheads="1"/>
        </xdr:cNvSpPr>
      </xdr:nvSpPr>
      <xdr:spPr bwMode="auto">
        <a:xfrm>
          <a:off x="7305675" y="161925"/>
          <a:ext cx="295275" cy="447675"/>
        </a:xfrm>
        <a:prstGeom prst="leftArrow">
          <a:avLst>
            <a:gd name="adj1" fmla="val 50000"/>
            <a:gd name="adj2" fmla="val 25000"/>
          </a:avLst>
        </a:prstGeom>
        <a:solidFill>
          <a:schemeClr val="tx2">
            <a:lumMod val="60000"/>
            <a:lumOff val="40000"/>
          </a:schemeClr>
        </a:solidFill>
        <a:ln w="9525">
          <a:solidFill>
            <a:srgbClr val="000000"/>
          </a:solidFill>
          <a:miter lim="800000"/>
          <a:headEnd/>
          <a:tailEnd/>
        </a:ln>
      </xdr:spPr>
    </xdr:sp>
    <xdr:clientData/>
  </xdr:twoCellAnchor>
  <xdr:twoCellAnchor>
    <xdr:from>
      <xdr:col>5</xdr:col>
      <xdr:colOff>209549</xdr:colOff>
      <xdr:row>20</xdr:row>
      <xdr:rowOff>152400</xdr:rowOff>
    </xdr:from>
    <xdr:to>
      <xdr:col>12</xdr:col>
      <xdr:colOff>457199</xdr:colOff>
      <xdr:row>31</xdr:row>
      <xdr:rowOff>19050</xdr:rowOff>
    </xdr:to>
    <xdr:sp macro="" textlink="">
      <xdr:nvSpPr>
        <xdr:cNvPr id="7175" name="Text Box 7">
          <a:extLst>
            <a:ext uri="{FF2B5EF4-FFF2-40B4-BE49-F238E27FC236}">
              <a16:creationId xmlns:a16="http://schemas.microsoft.com/office/drawing/2014/main" id="{00000000-0008-0000-0300-0000071C0000}"/>
            </a:ext>
          </a:extLst>
        </xdr:cNvPr>
        <xdr:cNvSpPr txBox="1">
          <a:spLocks noChangeArrowheads="1"/>
        </xdr:cNvSpPr>
      </xdr:nvSpPr>
      <xdr:spPr bwMode="auto">
        <a:xfrm>
          <a:off x="2905124" y="3419475"/>
          <a:ext cx="4924425" cy="1647825"/>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Exercises</a:t>
          </a:r>
          <a:r>
            <a:rPr lang="en-US" sz="1100" b="0" i="0" u="none" strike="noStrike" baseline="0">
              <a:solidFill>
                <a:sysClr val="windowText" lastClr="000000"/>
              </a:solidFill>
              <a:latin typeface="Times New Roman"/>
              <a:cs typeface="Times New Roman"/>
            </a:rPr>
            <a:t>  (1) Examine the population boxplot (shown in blue).  Examine the position of the median within the box, and the length of the each tail. Does its appearance reflect the desired degree of skewness (slight, medium, strong)? (2) As you press F9 a few times, compare the sample quartiles (shown in red) to the expected boxplot (shown in blue).  How stable are the quartiles from sample to sample?  (3) Watch the end points of the sample boxplot as you press F9  a few times.  Are the end points more or less stable than the quartiles?  (4) In general, did your samples </a:t>
          </a:r>
          <a:r>
            <a:rPr lang="en-US" sz="1100" b="0" i="1" u="none" strike="noStrike" baseline="0">
              <a:solidFill>
                <a:sysClr val="windowText" lastClr="000000"/>
              </a:solidFill>
              <a:latin typeface="Times New Roman"/>
              <a:cs typeface="Times New Roman"/>
            </a:rPr>
            <a:t>usually</a:t>
          </a:r>
          <a:r>
            <a:rPr lang="en-US" sz="1100" b="0" i="0" u="none" strike="noStrike" baseline="0">
              <a:solidFill>
                <a:sysClr val="windowText" lastClr="000000"/>
              </a:solidFill>
              <a:latin typeface="Times New Roman"/>
              <a:cs typeface="Times New Roman"/>
            </a:rPr>
            <a:t> resemble the population boxplot? (5) press F9 ten times.  What percentage of the time did you get a boxplot that definitely did </a:t>
          </a:r>
          <a:r>
            <a:rPr lang="en-US" sz="1100" b="0" i="1" u="none" strike="noStrike" baseline="0">
              <a:solidFill>
                <a:sysClr val="windowText" lastClr="000000"/>
              </a:solidFill>
              <a:latin typeface="Times New Roman"/>
              <a:cs typeface="Times New Roman"/>
            </a:rPr>
            <a:t>not</a:t>
          </a:r>
          <a:r>
            <a:rPr lang="en-US" sz="1100" b="0" i="0" u="none" strike="noStrike" baseline="0">
              <a:solidFill>
                <a:sysClr val="windowText" lastClr="000000"/>
              </a:solidFill>
              <a:latin typeface="Times New Roman"/>
              <a:cs typeface="Times New Roman"/>
            </a:rPr>
            <a:t> look like the expected boxplot?  What is the implication?</a:t>
          </a:r>
        </a:p>
      </xdr:txBody>
    </xdr:sp>
    <xdr:clientData/>
  </xdr:twoCellAnchor>
  <mc:AlternateContent xmlns:mc="http://schemas.openxmlformats.org/markup-compatibility/2006">
    <mc:Choice xmlns:a14="http://schemas.microsoft.com/office/drawing/2010/main" Requires="a14">
      <xdr:twoCellAnchor editAs="oneCell">
        <xdr:from>
          <xdr:col>4</xdr:col>
          <xdr:colOff>190500</xdr:colOff>
          <xdr:row>1</xdr:row>
          <xdr:rowOff>9525</xdr:rowOff>
        </xdr:from>
        <xdr:to>
          <xdr:col>5</xdr:col>
          <xdr:colOff>447675</xdr:colOff>
          <xdr:row>2</xdr:row>
          <xdr:rowOff>76200</xdr:rowOff>
        </xdr:to>
        <xdr:sp macro="" textlink="">
          <xdr:nvSpPr>
            <xdr:cNvPr id="7177" name="Drop Down 9" hidden="1">
              <a:extLst>
                <a:ext uri="{63B3BB69-23CF-44E3-9099-C40C66FF867C}">
                  <a14:compatExt spid="_x0000_s7177"/>
                </a:ext>
                <a:ext uri="{FF2B5EF4-FFF2-40B4-BE49-F238E27FC236}">
                  <a16:creationId xmlns:a16="http://schemas.microsoft.com/office/drawing/2014/main" id="{00000000-0008-0000-03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5</xdr:col>
      <xdr:colOff>333375</xdr:colOff>
      <xdr:row>32</xdr:row>
      <xdr:rowOff>57150</xdr:rowOff>
    </xdr:from>
    <xdr:to>
      <xdr:col>12</xdr:col>
      <xdr:colOff>371475</xdr:colOff>
      <xdr:row>38</xdr:row>
      <xdr:rowOff>123825</xdr:rowOff>
    </xdr:to>
    <xdr:sp macro="" textlink="">
      <xdr:nvSpPr>
        <xdr:cNvPr id="11" name="Text Box 2">
          <a:extLst>
            <a:ext uri="{FF2B5EF4-FFF2-40B4-BE49-F238E27FC236}">
              <a16:creationId xmlns:a16="http://schemas.microsoft.com/office/drawing/2014/main" id="{00000000-0008-0000-0300-00000B000000}"/>
            </a:ext>
          </a:extLst>
        </xdr:cNvPr>
        <xdr:cNvSpPr txBox="1">
          <a:spLocks noChangeArrowheads="1"/>
        </xdr:cNvSpPr>
      </xdr:nvSpPr>
      <xdr:spPr bwMode="auto">
        <a:xfrm>
          <a:off x="3028950" y="5267325"/>
          <a:ext cx="4714875" cy="103822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Source</a:t>
          </a:r>
          <a:r>
            <a:rPr lang="en-US" sz="1100" b="0" i="0" u="none" strike="noStrike" baseline="0">
              <a:solidFill>
                <a:sysClr val="windowText" lastClr="000000"/>
              </a:solidFill>
              <a:latin typeface="Times New Roman"/>
              <a:cs typeface="Times New Roman"/>
            </a:rPr>
            <a:t>  See Rick Hesse, "Box and Whiskers Plots," </a:t>
          </a:r>
          <a:r>
            <a:rPr lang="en-US" sz="1100" b="0" i="1" u="none" strike="noStrike" baseline="0">
              <a:solidFill>
                <a:sysClr val="windowText" lastClr="000000"/>
              </a:solidFill>
              <a:latin typeface="Times New Roman"/>
              <a:cs typeface="Times New Roman"/>
            </a:rPr>
            <a:t>Decision Line</a:t>
          </a:r>
          <a:r>
            <a:rPr lang="en-US" sz="1100" b="0" i="0" u="none" strike="noStrike" baseline="0">
              <a:solidFill>
                <a:sysClr val="windowText" lastClr="000000"/>
              </a:solidFill>
              <a:latin typeface="Times New Roman"/>
              <a:cs typeface="Times New Roman"/>
            </a:rPr>
            <a:t>, March, 1997, pp. 17-18.  You can change the display format of sample or quartiles to see more decimals.  Expected statistics are based on the normal distribution.  The min and max are </a:t>
          </a:r>
          <a:r>
            <a:rPr lang="en-US" sz="1100" b="0" i="1" u="none" strike="noStrike" baseline="0">
              <a:solidFill>
                <a:sysClr val="windowText" lastClr="000000"/>
              </a:solidFill>
              <a:latin typeface="Times New Roman"/>
              <a:cs typeface="Times New Roman"/>
            </a:rPr>
            <a:t>F</a:t>
          </a:r>
          <a:r>
            <a:rPr lang="en-US" sz="1100" b="0" i="0" u="none" strike="noStrike" baseline="30000">
              <a:solidFill>
                <a:sysClr val="windowText" lastClr="000000"/>
              </a:solidFill>
              <a:latin typeface="Times New Roman"/>
              <a:cs typeface="Times New Roman"/>
            </a:rPr>
            <a:t>-1</a:t>
          </a:r>
          <a:r>
            <a:rPr lang="en-US" sz="1100" b="0" i="0" u="none" strike="noStrike" baseline="0">
              <a:solidFill>
                <a:sysClr val="windowText" lastClr="000000"/>
              </a:solidFill>
              <a:latin typeface="Times New Roman"/>
              <a:cs typeface="Times New Roman"/>
            </a:rPr>
            <a:t>[(</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-0.5)/</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using </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 = 1,  </a:t>
          </a:r>
          <a:r>
            <a:rPr lang="en-US" sz="1100" b="0" i="1" u="none" strike="noStrike" baseline="0">
              <a:solidFill>
                <a:sysClr val="windowText" lastClr="000000"/>
              </a:solidFill>
              <a:latin typeface="Times New Roman"/>
              <a:cs typeface="Times New Roman"/>
            </a:rPr>
            <a:t>i</a:t>
          </a:r>
          <a:r>
            <a:rPr lang="en-US" sz="1100" b="0" i="0" u="none" strike="noStrike" baseline="0">
              <a:solidFill>
                <a:sysClr val="windowText" lastClr="000000"/>
              </a:solidFill>
              <a:latin typeface="Times New Roman"/>
              <a:cs typeface="Times New Roman"/>
            </a:rPr>
            <a:t> = 50, and </a:t>
          </a:r>
          <a:r>
            <a:rPr lang="en-US" sz="1100" b="0" i="1" u="none" strike="noStrike" baseline="0">
              <a:solidFill>
                <a:sysClr val="windowText" lastClr="000000"/>
              </a:solidFill>
              <a:latin typeface="Times New Roman"/>
              <a:cs typeface="Times New Roman"/>
            </a:rPr>
            <a:t>n</a:t>
          </a:r>
          <a:r>
            <a:rPr lang="en-US" sz="1100" b="0" i="0" u="none" strike="noStrike" baseline="0">
              <a:solidFill>
                <a:sysClr val="windowText" lastClr="000000"/>
              </a:solidFill>
              <a:latin typeface="Times New Roman"/>
              <a:cs typeface="Times New Roman"/>
            </a:rPr>
            <a:t> = 50.  For further explanation, see Ralph B. D'Agostino and Michael A. Stephens, </a:t>
          </a:r>
          <a:r>
            <a:rPr lang="en-US" sz="1100" b="0" i="1" u="none" strike="noStrike" baseline="0">
              <a:solidFill>
                <a:sysClr val="windowText" lastClr="000000"/>
              </a:solidFill>
              <a:latin typeface="Times New Roman"/>
              <a:cs typeface="Times New Roman"/>
            </a:rPr>
            <a:t>Goodness of Fit Techniques</a:t>
          </a:r>
          <a:r>
            <a:rPr lang="en-US" sz="1100" b="0" i="0" u="none" strike="noStrike" baseline="0">
              <a:solidFill>
                <a:sysClr val="windowText" lastClr="000000"/>
              </a:solidFill>
              <a:latin typeface="Times New Roman"/>
              <a:cs typeface="Times New Roman"/>
            </a:rPr>
            <a:t> (Marcel Dekker, Inc., 1986, p. 25.</a:t>
          </a:r>
        </a:p>
      </xdr:txBody>
    </xdr:sp>
    <xdr:clientData/>
  </xdr:twoCellAnchor>
  <xdr:twoCellAnchor>
    <xdr:from>
      <xdr:col>1</xdr:col>
      <xdr:colOff>85725</xdr:colOff>
      <xdr:row>1</xdr:row>
      <xdr:rowOff>57150</xdr:rowOff>
    </xdr:from>
    <xdr:to>
      <xdr:col>2</xdr:col>
      <xdr:colOff>561974</xdr:colOff>
      <xdr:row>3</xdr:row>
      <xdr:rowOff>114300</xdr:rowOff>
    </xdr:to>
    <xdr:sp macro="" textlink="">
      <xdr:nvSpPr>
        <xdr:cNvPr id="13" name="Text Box 3">
          <a:extLst>
            <a:ext uri="{FF2B5EF4-FFF2-40B4-BE49-F238E27FC236}">
              <a16:creationId xmlns:a16="http://schemas.microsoft.com/office/drawing/2014/main" id="{00000000-0008-0000-0300-00000D000000}"/>
            </a:ext>
          </a:extLst>
        </xdr:cNvPr>
        <xdr:cNvSpPr txBox="1">
          <a:spLocks noChangeArrowheads="1"/>
        </xdr:cNvSpPr>
      </xdr:nvSpPr>
      <xdr:spPr bwMode="auto">
        <a:xfrm>
          <a:off x="342900" y="247650"/>
          <a:ext cx="1085849" cy="381000"/>
        </a:xfrm>
        <a:prstGeom prst="rect">
          <a:avLst/>
        </a:prstGeom>
        <a:solidFill>
          <a:schemeClr val="accent6">
            <a:lumMod val="75000"/>
          </a:schemeClr>
        </a:solidFill>
        <a:ln w="9525">
          <a:solidFill>
            <a:srgbClr val="000000"/>
          </a:solidFill>
          <a:miter lim="800000"/>
          <a:headEnd/>
          <a:tailEnd/>
        </a:ln>
        <a:effectLst/>
      </xdr:spPr>
      <xdr:txBody>
        <a:bodyPr vertOverflow="clip" wrap="square" lIns="27432" tIns="22860" rIns="0" bIns="0" anchor="t" upright="1"/>
        <a:lstStyle/>
        <a:p>
          <a:pPr algn="ctr" rtl="0">
            <a:defRPr sz="1000"/>
          </a:pPr>
          <a:r>
            <a:rPr lang="en-US" sz="1100" b="1" i="0" u="none" strike="noStrike" baseline="0">
              <a:solidFill>
                <a:schemeClr val="bg1"/>
              </a:solidFill>
              <a:latin typeface="Calibri" pitchFamily="34" charset="0"/>
              <a:cs typeface="Times New Roman"/>
            </a:rPr>
            <a:t>Press F9 for a new sample.</a:t>
          </a:r>
        </a:p>
      </xdr:txBody>
    </xdr:sp>
    <xdr:clientData/>
  </xdr:twoCellAnchor>
  <xdr:twoCellAnchor>
    <xdr:from>
      <xdr:col>13</xdr:col>
      <xdr:colOff>28575</xdr:colOff>
      <xdr:row>0</xdr:row>
      <xdr:rowOff>133350</xdr:rowOff>
    </xdr:from>
    <xdr:to>
      <xdr:col>15</xdr:col>
      <xdr:colOff>409576</xdr:colOff>
      <xdr:row>3</xdr:row>
      <xdr:rowOff>66675</xdr:rowOff>
    </xdr:to>
    <xdr:sp macro="" textlink="">
      <xdr:nvSpPr>
        <xdr:cNvPr id="12" name="Text Box 5">
          <a:extLst>
            <a:ext uri="{FF2B5EF4-FFF2-40B4-BE49-F238E27FC236}">
              <a16:creationId xmlns:a16="http://schemas.microsoft.com/office/drawing/2014/main" id="{00000000-0008-0000-0300-00000C000000}"/>
            </a:ext>
          </a:extLst>
        </xdr:cNvPr>
        <xdr:cNvSpPr txBox="1">
          <a:spLocks noChangeArrowheads="1"/>
        </xdr:cNvSpPr>
      </xdr:nvSpPr>
      <xdr:spPr bwMode="auto">
        <a:xfrm>
          <a:off x="8010525" y="133350"/>
          <a:ext cx="1600201" cy="4476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Arial"/>
              <a:cs typeface="Arial"/>
            </a:rPr>
            <a:t>Note</a:t>
          </a:r>
          <a:r>
            <a:rPr lang="en-US" sz="1100" b="0" i="0" u="none" strike="noStrike" baseline="0">
              <a:solidFill>
                <a:srgbClr val="C00000"/>
              </a:solidFill>
              <a:latin typeface="Arial"/>
              <a:cs typeface="Arial"/>
            </a:rPr>
            <a:t> </a:t>
          </a:r>
          <a:r>
            <a:rPr lang="en-US" sz="1100" b="0" i="0" u="none" strike="noStrike" baseline="0">
              <a:solidFill>
                <a:sysClr val="windowText" lastClr="000000"/>
              </a:solidFill>
              <a:latin typeface="Arial"/>
              <a:cs typeface="Arial"/>
            </a:rPr>
            <a:t> You can change the degree of skewness.</a:t>
          </a:r>
        </a:p>
      </xdr:txBody>
    </xdr:sp>
    <xdr:clientData/>
  </xdr:twoCellAnchor>
  <xdr:twoCellAnchor editAs="oneCell">
    <xdr:from>
      <xdr:col>12</xdr:col>
      <xdr:colOff>295275</xdr:colOff>
      <xdr:row>3</xdr:row>
      <xdr:rowOff>142875</xdr:rowOff>
    </xdr:from>
    <xdr:to>
      <xdr:col>15</xdr:col>
      <xdr:colOff>552189</xdr:colOff>
      <xdr:row>13</xdr:row>
      <xdr:rowOff>104577</xdr:rowOff>
    </xdr:to>
    <xdr:pic>
      <xdr:nvPicPr>
        <xdr:cNvPr id="10" name="Picture 9">
          <a:extLst>
            <a:ext uri="{FF2B5EF4-FFF2-40B4-BE49-F238E27FC236}">
              <a16:creationId xmlns:a16="http://schemas.microsoft.com/office/drawing/2014/main" id="{AD8C7FD8-4A90-4C33-80AA-F91E9C4497FF}"/>
            </a:ext>
          </a:extLst>
        </xdr:cNvPr>
        <xdr:cNvPicPr>
          <a:picLocks noChangeAspect="1"/>
        </xdr:cNvPicPr>
      </xdr:nvPicPr>
      <xdr:blipFill>
        <a:blip xmlns:r="http://schemas.openxmlformats.org/officeDocument/2006/relationships" r:embed="rId2"/>
        <a:stretch>
          <a:fillRect/>
        </a:stretch>
      </xdr:blipFill>
      <xdr:spPr>
        <a:xfrm>
          <a:off x="7667625" y="657225"/>
          <a:ext cx="2085714" cy="1580952"/>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0.60163</cdr:x>
      <cdr:y>0.09917</cdr:y>
    </cdr:from>
    <cdr:to>
      <cdr:x>0.88076</cdr:x>
      <cdr:y>0.18595</cdr:y>
    </cdr:to>
    <cdr:sp macro="" textlink="">
      <cdr:nvSpPr>
        <cdr:cNvPr id="2" name="TextBox 1"/>
        <cdr:cNvSpPr txBox="1"/>
      </cdr:nvSpPr>
      <cdr:spPr>
        <a:xfrm xmlns:a="http://schemas.openxmlformats.org/drawingml/2006/main">
          <a:off x="2114550" y="228600"/>
          <a:ext cx="98107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1100">
              <a:solidFill>
                <a:srgbClr val="0000CC"/>
              </a:solidFill>
            </a:rPr>
            <a:t>Population</a:t>
          </a:r>
        </a:p>
      </cdr:txBody>
    </cdr:sp>
  </cdr:relSizeAnchor>
  <cdr:relSizeAnchor xmlns:cdr="http://schemas.openxmlformats.org/drawingml/2006/chartDrawing">
    <cdr:from>
      <cdr:x>0.58356</cdr:x>
      <cdr:y>0.49725</cdr:y>
    </cdr:from>
    <cdr:to>
      <cdr:x>0.86269</cdr:x>
      <cdr:y>0.58402</cdr:y>
    </cdr:to>
    <cdr:sp macro="" textlink="">
      <cdr:nvSpPr>
        <cdr:cNvPr id="3" name="TextBox 1"/>
        <cdr:cNvSpPr txBox="1"/>
      </cdr:nvSpPr>
      <cdr:spPr>
        <a:xfrm xmlns:a="http://schemas.openxmlformats.org/drawingml/2006/main">
          <a:off x="2051050" y="1146175"/>
          <a:ext cx="981075" cy="2000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US" sz="1100">
              <a:solidFill>
                <a:srgbClr val="FF0000"/>
              </a:solidFill>
            </a:rPr>
            <a:t>Sample</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
  <sheetViews>
    <sheetView showGridLines="0" tabSelected="1" zoomScaleNormal="100" workbookViewId="0"/>
  </sheetViews>
  <sheetFormatPr defaultRowHeight="12.75" x14ac:dyDescent="0.2"/>
  <cols>
    <col min="1" max="1" width="5.140625" customWidth="1"/>
  </cols>
  <sheetData>
    <row r="1" spans="2:2" ht="15" x14ac:dyDescent="0.2">
      <c r="B1" s="47" t="s">
        <v>25</v>
      </c>
    </row>
  </sheetData>
  <sheetProtection sheet="1" formatCells="0" formatColumns="0" formatRows="0"/>
  <pageMargins left="0.7" right="0.7" top="0.75" bottom="0.75" header="0.3" footer="0.3"/>
  <pageSetup scale="81"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Q36"/>
  <sheetViews>
    <sheetView showGridLines="0" workbookViewId="0"/>
  </sheetViews>
  <sheetFormatPr defaultRowHeight="12.75" x14ac:dyDescent="0.2"/>
  <cols>
    <col min="1" max="1" width="3.85546875" style="1" customWidth="1"/>
    <col min="2" max="16384" width="9.140625" style="1"/>
  </cols>
  <sheetData>
    <row r="1" spans="2:6" ht="15" x14ac:dyDescent="0.2">
      <c r="B1" s="47" t="s">
        <v>21</v>
      </c>
      <c r="E1" s="57" t="s">
        <v>0</v>
      </c>
      <c r="F1" s="58">
        <v>50</v>
      </c>
    </row>
    <row r="2" spans="2:6" x14ac:dyDescent="0.2">
      <c r="E2" s="57"/>
      <c r="F2" s="58"/>
    </row>
    <row r="3" spans="2:6" x14ac:dyDescent="0.2">
      <c r="E3" s="57" t="s">
        <v>1</v>
      </c>
      <c r="F3" s="58">
        <v>15</v>
      </c>
    </row>
    <row r="4" spans="2:6" x14ac:dyDescent="0.2">
      <c r="E4" s="57"/>
      <c r="F4" s="58"/>
    </row>
    <row r="5" spans="2:6" x14ac:dyDescent="0.2">
      <c r="B5" s="54" t="s">
        <v>2</v>
      </c>
      <c r="C5" s="55"/>
      <c r="D5" s="55"/>
      <c r="E5" s="55"/>
      <c r="F5" s="56"/>
    </row>
    <row r="6" spans="2:6" x14ac:dyDescent="0.2">
      <c r="B6" s="34">
        <f ca="1">NORMINV(RAND(),Mean,StDev)</f>
        <v>45.678553137051736</v>
      </c>
      <c r="C6" s="35">
        <f t="shared" ref="C6:F15" ca="1" si="0">NORMINV(RAND(),Mean,StDev)</f>
        <v>46.471777177836778</v>
      </c>
      <c r="D6" s="35">
        <f t="shared" ca="1" si="0"/>
        <v>35.743077878743222</v>
      </c>
      <c r="E6" s="35">
        <f t="shared" ca="1" si="0"/>
        <v>35.270049752967971</v>
      </c>
      <c r="F6" s="36">
        <f t="shared" ca="1" si="0"/>
        <v>47.248443172929989</v>
      </c>
    </row>
    <row r="7" spans="2:6" x14ac:dyDescent="0.2">
      <c r="B7" s="37">
        <f ca="1">NORMINV(RAND(),Mean,StDev)</f>
        <v>28.81620687744962</v>
      </c>
      <c r="C7" s="7">
        <f t="shared" ca="1" si="0"/>
        <v>57.27532467411865</v>
      </c>
      <c r="D7" s="7">
        <f t="shared" ca="1" si="0"/>
        <v>43.645135988527102</v>
      </c>
      <c r="E7" s="7">
        <f t="shared" ca="1" si="0"/>
        <v>58.165506028793246</v>
      </c>
      <c r="F7" s="38">
        <f t="shared" ca="1" si="0"/>
        <v>47.435805041948448</v>
      </c>
    </row>
    <row r="8" spans="2:6" x14ac:dyDescent="0.2">
      <c r="B8" s="37">
        <f t="shared" ref="B8:B15" ca="1" si="1">NORMINV(RAND(),Mean,StDev)</f>
        <v>29.78637544598201</v>
      </c>
      <c r="C8" s="7">
        <f t="shared" ca="1" si="0"/>
        <v>52.969498813184785</v>
      </c>
      <c r="D8" s="7">
        <f t="shared" ca="1" si="0"/>
        <v>24.246220935560153</v>
      </c>
      <c r="E8" s="7">
        <f t="shared" ca="1" si="0"/>
        <v>32.176506006300762</v>
      </c>
      <c r="F8" s="38">
        <f t="shared" ca="1" si="0"/>
        <v>37.588769441527504</v>
      </c>
    </row>
    <row r="9" spans="2:6" x14ac:dyDescent="0.2">
      <c r="B9" s="37">
        <f t="shared" ca="1" si="1"/>
        <v>29.914458213074028</v>
      </c>
      <c r="C9" s="7">
        <f t="shared" ca="1" si="0"/>
        <v>33.27034962717255</v>
      </c>
      <c r="D9" s="7">
        <f t="shared" ca="1" si="0"/>
        <v>67.09278288545778</v>
      </c>
      <c r="E9" s="7">
        <f t="shared" ca="1" si="0"/>
        <v>47.789316208657354</v>
      </c>
      <c r="F9" s="38">
        <f t="shared" ca="1" si="0"/>
        <v>72.761466822404998</v>
      </c>
    </row>
    <row r="10" spans="2:6" x14ac:dyDescent="0.2">
      <c r="B10" s="37">
        <f t="shared" ca="1" si="1"/>
        <v>52.745751922519524</v>
      </c>
      <c r="C10" s="7">
        <f t="shared" ca="1" si="0"/>
        <v>72.042362089695274</v>
      </c>
      <c r="D10" s="7">
        <f t="shared" ca="1" si="0"/>
        <v>62.013036831848098</v>
      </c>
      <c r="E10" s="7">
        <f t="shared" ca="1" si="0"/>
        <v>63.879078886098149</v>
      </c>
      <c r="F10" s="38">
        <f t="shared" ca="1" si="0"/>
        <v>50.897855697272085</v>
      </c>
    </row>
    <row r="11" spans="2:6" x14ac:dyDescent="0.2">
      <c r="B11" s="37">
        <f t="shared" ca="1" si="1"/>
        <v>36.337347964164046</v>
      </c>
      <c r="C11" s="7">
        <f t="shared" ca="1" si="0"/>
        <v>52.898957134740932</v>
      </c>
      <c r="D11" s="7">
        <f t="shared" ca="1" si="0"/>
        <v>53.01342980139988</v>
      </c>
      <c r="E11" s="7">
        <f t="shared" ca="1" si="0"/>
        <v>59.597861319224457</v>
      </c>
      <c r="F11" s="38">
        <f t="shared" ca="1" si="0"/>
        <v>25.633664597993036</v>
      </c>
    </row>
    <row r="12" spans="2:6" x14ac:dyDescent="0.2">
      <c r="B12" s="37">
        <f t="shared" ca="1" si="1"/>
        <v>57.752443516835854</v>
      </c>
      <c r="C12" s="7">
        <f t="shared" ca="1" si="0"/>
        <v>55.718484219719336</v>
      </c>
      <c r="D12" s="7">
        <f t="shared" ca="1" si="0"/>
        <v>69.444886589198546</v>
      </c>
      <c r="E12" s="7">
        <f t="shared" ca="1" si="0"/>
        <v>36.801801126380425</v>
      </c>
      <c r="F12" s="38">
        <f t="shared" ca="1" si="0"/>
        <v>59.85296550633975</v>
      </c>
    </row>
    <row r="13" spans="2:6" x14ac:dyDescent="0.2">
      <c r="B13" s="37">
        <f t="shared" ca="1" si="1"/>
        <v>55.154831055971741</v>
      </c>
      <c r="C13" s="7">
        <f t="shared" ca="1" si="0"/>
        <v>64.705066341442802</v>
      </c>
      <c r="D13" s="7">
        <f t="shared" ca="1" si="0"/>
        <v>35.620706053698662</v>
      </c>
      <c r="E13" s="7">
        <f t="shared" ca="1" si="0"/>
        <v>35.125499789913228</v>
      </c>
      <c r="F13" s="38">
        <f t="shared" ca="1" si="0"/>
        <v>61.462009902198432</v>
      </c>
    </row>
    <row r="14" spans="2:6" x14ac:dyDescent="0.2">
      <c r="B14" s="37">
        <f t="shared" ca="1" si="1"/>
        <v>32.198463781937868</v>
      </c>
      <c r="C14" s="7">
        <f t="shared" ca="1" si="0"/>
        <v>26.473972500144825</v>
      </c>
      <c r="D14" s="7">
        <f t="shared" ca="1" si="0"/>
        <v>63.443684361511714</v>
      </c>
      <c r="E14" s="7">
        <f t="shared" ca="1" si="0"/>
        <v>70.578099270572196</v>
      </c>
      <c r="F14" s="38">
        <f t="shared" ca="1" si="0"/>
        <v>60.038209819530515</v>
      </c>
    </row>
    <row r="15" spans="2:6" x14ac:dyDescent="0.2">
      <c r="B15" s="39">
        <f t="shared" ca="1" si="1"/>
        <v>69.726465543457394</v>
      </c>
      <c r="C15" s="40">
        <f t="shared" ca="1" si="0"/>
        <v>63.647390193533155</v>
      </c>
      <c r="D15" s="40">
        <f t="shared" ca="1" si="0"/>
        <v>41.438851947712124</v>
      </c>
      <c r="E15" s="40">
        <f t="shared" ca="1" si="0"/>
        <v>36.214686699575729</v>
      </c>
      <c r="F15" s="41">
        <f t="shared" ca="1" si="0"/>
        <v>38.464814663921359</v>
      </c>
    </row>
    <row r="16" spans="2:6" x14ac:dyDescent="0.2">
      <c r="B16" s="2"/>
      <c r="C16" s="2"/>
      <c r="D16" s="2"/>
    </row>
    <row r="17" spans="2:17" x14ac:dyDescent="0.2">
      <c r="B17" s="51" t="s">
        <v>13</v>
      </c>
      <c r="C17" s="52"/>
      <c r="D17" s="53"/>
      <c r="G17" s="30"/>
      <c r="H17" s="49" t="s">
        <v>3</v>
      </c>
      <c r="I17" s="49" t="s">
        <v>4</v>
      </c>
      <c r="J17" s="49" t="s">
        <v>7</v>
      </c>
      <c r="K17" s="49" t="s">
        <v>5</v>
      </c>
      <c r="L17" s="49" t="s">
        <v>6</v>
      </c>
      <c r="N17" s="51" t="s">
        <v>19</v>
      </c>
      <c r="O17" s="52"/>
      <c r="P17" s="53"/>
    </row>
    <row r="18" spans="2:17" x14ac:dyDescent="0.2">
      <c r="B18" s="10" t="s">
        <v>10</v>
      </c>
      <c r="C18" s="11" t="s">
        <v>8</v>
      </c>
      <c r="D18" s="12" t="s">
        <v>9</v>
      </c>
      <c r="G18" s="50" t="s">
        <v>12</v>
      </c>
      <c r="H18" s="31">
        <f ca="1">MIN(Sample)</f>
        <v>24.246220935560153</v>
      </c>
      <c r="I18" s="31">
        <f ca="1">QUARTILE(Sample,1)</f>
        <v>35.860980083951347</v>
      </c>
      <c r="J18" s="31">
        <f ca="1">QUARTILE(Sample,2)</f>
        <v>49.343585952964716</v>
      </c>
      <c r="K18" s="31">
        <f ca="1">QUARTILE(Sample,3)</f>
        <v>59.991898741232824</v>
      </c>
      <c r="L18" s="31">
        <f ca="1">MAX(Sample)</f>
        <v>72.761466822404998</v>
      </c>
      <c r="N18" s="18" t="s">
        <v>10</v>
      </c>
      <c r="O18" s="19" t="s">
        <v>8</v>
      </c>
      <c r="P18" s="20" t="s">
        <v>9</v>
      </c>
    </row>
    <row r="19" spans="2:17" x14ac:dyDescent="0.2">
      <c r="B19" s="13" t="s">
        <v>3</v>
      </c>
      <c r="C19" s="8">
        <f ca="1">MIN(Sample)</f>
        <v>24.246220935560153</v>
      </c>
      <c r="D19" s="14">
        <v>1.5</v>
      </c>
      <c r="G19" s="50" t="s">
        <v>11</v>
      </c>
      <c r="H19" s="31">
        <f>NORMINV(0.01,Mean,StDev)</f>
        <v>15.10478188938739</v>
      </c>
      <c r="I19" s="31">
        <f>Mean-0.675*StDev</f>
        <v>39.875</v>
      </c>
      <c r="J19" s="31">
        <f>Mean</f>
        <v>50</v>
      </c>
      <c r="K19" s="31">
        <f>Mean+0.675*StDev</f>
        <v>60.125</v>
      </c>
      <c r="L19" s="31">
        <f>NORMINV(0.99,Mean,StDev)</f>
        <v>84.895218110612603</v>
      </c>
      <c r="N19" s="21" t="s">
        <v>3</v>
      </c>
      <c r="O19" s="22">
        <f>H19</f>
        <v>15.10478188938739</v>
      </c>
      <c r="P19" s="23">
        <v>4.5</v>
      </c>
      <c r="Q19" s="3"/>
    </row>
    <row r="20" spans="2:17" x14ac:dyDescent="0.2">
      <c r="B20" s="13" t="s">
        <v>4</v>
      </c>
      <c r="C20" s="8">
        <f ca="1">QUARTILE(Sample,1)</f>
        <v>35.860980083951347</v>
      </c>
      <c r="D20" s="14">
        <v>1.5</v>
      </c>
      <c r="N20" s="21" t="s">
        <v>4</v>
      </c>
      <c r="O20" s="22">
        <f>I19</f>
        <v>39.875</v>
      </c>
      <c r="P20" s="23">
        <v>4.5</v>
      </c>
      <c r="Q20" s="3"/>
    </row>
    <row r="21" spans="2:17" x14ac:dyDescent="0.2">
      <c r="B21" s="13"/>
      <c r="C21" s="8"/>
      <c r="D21" s="14"/>
      <c r="N21" s="21"/>
      <c r="O21" s="22"/>
      <c r="P21" s="23"/>
      <c r="Q21" s="3"/>
    </row>
    <row r="22" spans="2:17" x14ac:dyDescent="0.2">
      <c r="B22" s="13" t="s">
        <v>4</v>
      </c>
      <c r="C22" s="8">
        <f ca="1">QUARTILE(Sample,1)</f>
        <v>35.860980083951347</v>
      </c>
      <c r="D22" s="14">
        <v>2.5</v>
      </c>
      <c r="N22" s="21" t="s">
        <v>4</v>
      </c>
      <c r="O22" s="22">
        <f>I19</f>
        <v>39.875</v>
      </c>
      <c r="P22" s="23">
        <v>5.5</v>
      </c>
      <c r="Q22" s="3"/>
    </row>
    <row r="23" spans="2:17" x14ac:dyDescent="0.2">
      <c r="B23" s="13" t="s">
        <v>5</v>
      </c>
      <c r="C23" s="8">
        <f ca="1">QUARTILE(Sample,3)</f>
        <v>59.991898741232824</v>
      </c>
      <c r="D23" s="14">
        <v>2.5</v>
      </c>
      <c r="N23" s="21" t="s">
        <v>5</v>
      </c>
      <c r="O23" s="22">
        <f>K19</f>
        <v>60.125</v>
      </c>
      <c r="P23" s="23">
        <v>5.5</v>
      </c>
      <c r="Q23" s="3"/>
    </row>
    <row r="24" spans="2:17" x14ac:dyDescent="0.2">
      <c r="B24" s="13" t="s">
        <v>5</v>
      </c>
      <c r="C24" s="8">
        <f ca="1">QUARTILE(Sample,3)</f>
        <v>59.991898741232824</v>
      </c>
      <c r="D24" s="14">
        <v>0.5</v>
      </c>
      <c r="N24" s="21" t="s">
        <v>5</v>
      </c>
      <c r="O24" s="22">
        <f>K19</f>
        <v>60.125</v>
      </c>
      <c r="P24" s="23">
        <v>3.5</v>
      </c>
      <c r="Q24" s="3"/>
    </row>
    <row r="25" spans="2:17" x14ac:dyDescent="0.2">
      <c r="B25" s="13" t="s">
        <v>4</v>
      </c>
      <c r="C25" s="8">
        <f ca="1">QUARTILE(Sample,1)</f>
        <v>35.860980083951347</v>
      </c>
      <c r="D25" s="14">
        <v>0.5</v>
      </c>
      <c r="N25" s="21" t="s">
        <v>4</v>
      </c>
      <c r="O25" s="22">
        <f>I19</f>
        <v>39.875</v>
      </c>
      <c r="P25" s="23">
        <v>3.5</v>
      </c>
      <c r="Q25" s="3"/>
    </row>
    <row r="26" spans="2:17" x14ac:dyDescent="0.2">
      <c r="B26" s="13" t="s">
        <v>4</v>
      </c>
      <c r="C26" s="8">
        <f ca="1">QUARTILE(Sample,1)</f>
        <v>35.860980083951347</v>
      </c>
      <c r="D26" s="14">
        <v>2.5</v>
      </c>
      <c r="N26" s="21" t="s">
        <v>4</v>
      </c>
      <c r="O26" s="22">
        <f>I19</f>
        <v>39.875</v>
      </c>
      <c r="P26" s="23">
        <v>5.5</v>
      </c>
      <c r="Q26" s="3"/>
    </row>
    <row r="27" spans="2:17" x14ac:dyDescent="0.2">
      <c r="B27" s="13"/>
      <c r="C27" s="8"/>
      <c r="D27" s="14"/>
      <c r="N27" s="21"/>
      <c r="O27" s="22"/>
      <c r="P27" s="23"/>
      <c r="Q27" s="3"/>
    </row>
    <row r="28" spans="2:17" x14ac:dyDescent="0.2">
      <c r="B28" s="13" t="s">
        <v>5</v>
      </c>
      <c r="C28" s="8">
        <f ca="1">QUARTILE(Sample,3)</f>
        <v>59.991898741232824</v>
      </c>
      <c r="D28" s="14">
        <v>1.5</v>
      </c>
      <c r="N28" s="21" t="s">
        <v>5</v>
      </c>
      <c r="O28" s="22">
        <f>K19</f>
        <v>60.125</v>
      </c>
      <c r="P28" s="23">
        <v>4.5</v>
      </c>
      <c r="Q28" s="3"/>
    </row>
    <row r="29" spans="2:17" x14ac:dyDescent="0.2">
      <c r="B29" s="13" t="s">
        <v>6</v>
      </c>
      <c r="C29" s="8">
        <f ca="1">MAX(Sample)</f>
        <v>72.761466822404998</v>
      </c>
      <c r="D29" s="14">
        <v>1.5</v>
      </c>
      <c r="N29" s="21" t="s">
        <v>6</v>
      </c>
      <c r="O29" s="22">
        <f>L19</f>
        <v>84.895218110612603</v>
      </c>
      <c r="P29" s="23">
        <v>4.5</v>
      </c>
      <c r="Q29" s="3"/>
    </row>
    <row r="30" spans="2:17" x14ac:dyDescent="0.2">
      <c r="B30" s="13"/>
      <c r="C30" s="8"/>
      <c r="D30" s="14"/>
      <c r="N30" s="21"/>
      <c r="O30" s="22"/>
      <c r="P30" s="23">
        <v>3</v>
      </c>
      <c r="Q30" s="3"/>
    </row>
    <row r="31" spans="2:17" x14ac:dyDescent="0.2">
      <c r="B31" s="13" t="s">
        <v>7</v>
      </c>
      <c r="C31" s="8">
        <f ca="1">QUARTILE(Sample,2)</f>
        <v>49.343585952964716</v>
      </c>
      <c r="D31" s="14">
        <v>0.5</v>
      </c>
      <c r="N31" s="21" t="s">
        <v>7</v>
      </c>
      <c r="O31" s="22">
        <f>J19</f>
        <v>50</v>
      </c>
      <c r="P31" s="23">
        <v>3.5</v>
      </c>
      <c r="Q31" s="3"/>
    </row>
    <row r="32" spans="2:17" x14ac:dyDescent="0.2">
      <c r="B32" s="13" t="s">
        <v>7</v>
      </c>
      <c r="C32" s="8">
        <f ca="1">QUARTILE(Sample,2)</f>
        <v>49.343585952964716</v>
      </c>
      <c r="D32" s="14">
        <v>2.5</v>
      </c>
      <c r="N32" s="21" t="s">
        <v>7</v>
      </c>
      <c r="O32" s="22">
        <f>J19</f>
        <v>50</v>
      </c>
      <c r="P32" s="23">
        <v>5.5</v>
      </c>
      <c r="Q32" s="3"/>
    </row>
    <row r="33" spans="2:17" x14ac:dyDescent="0.2">
      <c r="B33" s="13"/>
      <c r="C33" s="8"/>
      <c r="D33" s="14"/>
      <c r="N33" s="21"/>
      <c r="O33" s="22"/>
      <c r="P33" s="23"/>
      <c r="Q33" s="3"/>
    </row>
    <row r="34" spans="2:17" x14ac:dyDescent="0.2">
      <c r="B34" s="13" t="s">
        <v>5</v>
      </c>
      <c r="C34" s="8">
        <f ca="1">QUARTILE(Sample,3)</f>
        <v>59.991898741232824</v>
      </c>
      <c r="D34" s="14">
        <v>2.5</v>
      </c>
      <c r="N34" s="21" t="s">
        <v>5</v>
      </c>
      <c r="O34" s="22">
        <f>K19</f>
        <v>60.125</v>
      </c>
      <c r="P34" s="23">
        <v>5.5</v>
      </c>
      <c r="Q34" s="3"/>
    </row>
    <row r="35" spans="2:17" x14ac:dyDescent="0.2">
      <c r="B35" s="15" t="s">
        <v>5</v>
      </c>
      <c r="C35" s="16">
        <f ca="1">QUARTILE(Sample,3)</f>
        <v>59.991898741232824</v>
      </c>
      <c r="D35" s="17">
        <v>0.5</v>
      </c>
      <c r="N35" s="24" t="s">
        <v>5</v>
      </c>
      <c r="O35" s="25">
        <f>K19</f>
        <v>60.125</v>
      </c>
      <c r="P35" s="26">
        <v>3.5</v>
      </c>
      <c r="Q35" s="3"/>
    </row>
    <row r="36" spans="2:17" x14ac:dyDescent="0.2">
      <c r="B36" s="9"/>
      <c r="C36" s="9"/>
      <c r="D36" s="9"/>
    </row>
  </sheetData>
  <sheetProtection sheet="1" formatCells="0" formatColumns="0" formatRows="0"/>
  <mergeCells count="7">
    <mergeCell ref="N17:P17"/>
    <mergeCell ref="B5:F5"/>
    <mergeCell ref="B17:D17"/>
    <mergeCell ref="E1:E2"/>
    <mergeCell ref="F1:F2"/>
    <mergeCell ref="E3:E4"/>
    <mergeCell ref="F3:F4"/>
  </mergeCells>
  <phoneticPr fontId="0" type="noConversion"/>
  <dataValidations count="2">
    <dataValidation type="decimal" allowBlank="1" showInputMessage="1" showErrorMessage="1" errorTitle="Invalid Parameter" error="Must be between -10,000 and +10,000." sqref="F1:F2" xr:uid="{00000000-0002-0000-0100-000000000000}">
      <formula1>-10000</formula1>
      <formula2>10000</formula2>
    </dataValidation>
    <dataValidation type="decimal" operator="greaterThan" allowBlank="1" showInputMessage="1" showErrorMessage="1" errorTitle="Invalid Parameter" error="Must be positive and not exceed 10,000." sqref="F3:F4" xr:uid="{00000000-0002-0000-0100-000001000000}">
      <formula1>0</formula1>
    </dataValidation>
  </dataValidations>
  <pageMargins left="0.75" right="0.75" top="1" bottom="1" header="0.5" footer="0.5"/>
  <pageSetup scale="8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S35"/>
  <sheetViews>
    <sheetView showGridLines="0" workbookViewId="0"/>
  </sheetViews>
  <sheetFormatPr defaultRowHeight="12.75" x14ac:dyDescent="0.2"/>
  <cols>
    <col min="1" max="1" width="3.85546875" style="1" customWidth="1"/>
    <col min="2" max="6" width="9.140625" style="1"/>
    <col min="7" max="7" width="12.28515625" style="1" customWidth="1"/>
    <col min="8" max="16384" width="9.140625" style="1"/>
  </cols>
  <sheetData>
    <row r="1" spans="2:6" ht="15" x14ac:dyDescent="0.2">
      <c r="B1" s="47" t="s">
        <v>23</v>
      </c>
      <c r="E1" s="57" t="s">
        <v>3</v>
      </c>
      <c r="F1" s="58">
        <v>16</v>
      </c>
    </row>
    <row r="2" spans="2:6" x14ac:dyDescent="0.2">
      <c r="E2" s="57"/>
      <c r="F2" s="58"/>
    </row>
    <row r="3" spans="2:6" x14ac:dyDescent="0.2">
      <c r="E3" s="57" t="s">
        <v>6</v>
      </c>
      <c r="F3" s="58">
        <v>85</v>
      </c>
    </row>
    <row r="4" spans="2:6" x14ac:dyDescent="0.2">
      <c r="E4" s="57"/>
      <c r="F4" s="58"/>
    </row>
    <row r="5" spans="2:6" x14ac:dyDescent="0.2">
      <c r="B5" s="59" t="s">
        <v>2</v>
      </c>
      <c r="C5" s="60"/>
      <c r="D5" s="60"/>
      <c r="E5" s="60"/>
      <c r="F5" s="61"/>
    </row>
    <row r="6" spans="2:6" x14ac:dyDescent="0.2">
      <c r="B6" s="32">
        <f ca="1">AA+RAND()*(BB-AA)</f>
        <v>71.015349667679502</v>
      </c>
      <c r="C6" s="7">
        <f t="shared" ref="C6:F15" ca="1" si="0">AA+RAND()*(BB-AA)</f>
        <v>47.206978696164285</v>
      </c>
      <c r="D6" s="7">
        <f t="shared" ca="1" si="0"/>
        <v>65.212021867592199</v>
      </c>
      <c r="E6" s="7">
        <f t="shared" ca="1" si="0"/>
        <v>57.249050683530577</v>
      </c>
      <c r="F6" s="27">
        <f t="shared" ca="1" si="0"/>
        <v>53.149948100536491</v>
      </c>
    </row>
    <row r="7" spans="2:6" x14ac:dyDescent="0.2">
      <c r="B7" s="32">
        <f t="shared" ref="B7:B15" ca="1" si="1">AA+RAND()*(BB-AA)</f>
        <v>57.909621537861319</v>
      </c>
      <c r="C7" s="7">
        <f t="shared" ca="1" si="0"/>
        <v>60.484329179945348</v>
      </c>
      <c r="D7" s="7">
        <f t="shared" ca="1" si="0"/>
        <v>60.586833341071447</v>
      </c>
      <c r="E7" s="7">
        <f t="shared" ca="1" si="0"/>
        <v>37.893226839605759</v>
      </c>
      <c r="F7" s="27">
        <f t="shared" ca="1" si="0"/>
        <v>73.225617523813142</v>
      </c>
    </row>
    <row r="8" spans="2:6" x14ac:dyDescent="0.2">
      <c r="B8" s="32">
        <f t="shared" ca="1" si="1"/>
        <v>33.643085433994486</v>
      </c>
      <c r="C8" s="7">
        <f t="shared" ca="1" si="0"/>
        <v>43.540926476020573</v>
      </c>
      <c r="D8" s="7">
        <f t="shared" ca="1" si="0"/>
        <v>26.632947852523685</v>
      </c>
      <c r="E8" s="7">
        <f t="shared" ca="1" si="0"/>
        <v>27.728390095094827</v>
      </c>
      <c r="F8" s="27">
        <f t="shared" ca="1" si="0"/>
        <v>41.551694345307801</v>
      </c>
    </row>
    <row r="9" spans="2:6" x14ac:dyDescent="0.2">
      <c r="B9" s="32">
        <f t="shared" ca="1" si="1"/>
        <v>77.191628320439065</v>
      </c>
      <c r="C9" s="7">
        <f t="shared" ca="1" si="0"/>
        <v>38.198301513447618</v>
      </c>
      <c r="D9" s="7">
        <f t="shared" ca="1" si="0"/>
        <v>43.578900937254353</v>
      </c>
      <c r="E9" s="7">
        <f t="shared" ca="1" si="0"/>
        <v>31.442066143394989</v>
      </c>
      <c r="F9" s="27">
        <f t="shared" ca="1" si="0"/>
        <v>73.901334537831104</v>
      </c>
    </row>
    <row r="10" spans="2:6" x14ac:dyDescent="0.2">
      <c r="B10" s="32">
        <f t="shared" ca="1" si="1"/>
        <v>83.731460391043655</v>
      </c>
      <c r="C10" s="7">
        <f t="shared" ca="1" si="0"/>
        <v>22.845419074157764</v>
      </c>
      <c r="D10" s="7">
        <f t="shared" ca="1" si="0"/>
        <v>49.696831098571074</v>
      </c>
      <c r="E10" s="7">
        <f t="shared" ca="1" si="0"/>
        <v>67.638051009956797</v>
      </c>
      <c r="F10" s="27">
        <f t="shared" ca="1" si="0"/>
        <v>46.556679247794754</v>
      </c>
    </row>
    <row r="11" spans="2:6" x14ac:dyDescent="0.2">
      <c r="B11" s="32">
        <f t="shared" ca="1" si="1"/>
        <v>40.919568641479131</v>
      </c>
      <c r="C11" s="7">
        <f t="shared" ca="1" si="0"/>
        <v>53.491260729670543</v>
      </c>
      <c r="D11" s="7">
        <f t="shared" ca="1" si="0"/>
        <v>82.942203453392153</v>
      </c>
      <c r="E11" s="7">
        <f t="shared" ca="1" si="0"/>
        <v>28.114766511777525</v>
      </c>
      <c r="F11" s="27">
        <f t="shared" ca="1" si="0"/>
        <v>18.34500677256904</v>
      </c>
    </row>
    <row r="12" spans="2:6" x14ac:dyDescent="0.2">
      <c r="B12" s="32">
        <f t="shared" ca="1" si="1"/>
        <v>45.789097315627863</v>
      </c>
      <c r="C12" s="7">
        <f t="shared" ca="1" si="0"/>
        <v>39.892417992434844</v>
      </c>
      <c r="D12" s="7">
        <f t="shared" ca="1" si="0"/>
        <v>58.91105276223275</v>
      </c>
      <c r="E12" s="7">
        <f t="shared" ca="1" si="0"/>
        <v>81.89463791476885</v>
      </c>
      <c r="F12" s="27">
        <f t="shared" ca="1" si="0"/>
        <v>18.343909760817432</v>
      </c>
    </row>
    <row r="13" spans="2:6" x14ac:dyDescent="0.2">
      <c r="B13" s="32">
        <f t="shared" ca="1" si="1"/>
        <v>17.461042425667131</v>
      </c>
      <c r="C13" s="7">
        <f t="shared" ca="1" si="0"/>
        <v>40.393186595910059</v>
      </c>
      <c r="D13" s="7">
        <f t="shared" ca="1" si="0"/>
        <v>46.613102267246063</v>
      </c>
      <c r="E13" s="7">
        <f t="shared" ca="1" si="0"/>
        <v>26.350797085912767</v>
      </c>
      <c r="F13" s="27">
        <f t="shared" ca="1" si="0"/>
        <v>61.935507785829422</v>
      </c>
    </row>
    <row r="14" spans="2:6" x14ac:dyDescent="0.2">
      <c r="B14" s="32">
        <f t="shared" ca="1" si="1"/>
        <v>77.601436388454943</v>
      </c>
      <c r="C14" s="7">
        <f t="shared" ca="1" si="0"/>
        <v>28.447938597027779</v>
      </c>
      <c r="D14" s="7">
        <f t="shared" ca="1" si="0"/>
        <v>54.742230703312451</v>
      </c>
      <c r="E14" s="7">
        <f t="shared" ca="1" si="0"/>
        <v>30.172799877518681</v>
      </c>
      <c r="F14" s="27">
        <f t="shared" ca="1" si="0"/>
        <v>67.034005279823319</v>
      </c>
    </row>
    <row r="15" spans="2:6" x14ac:dyDescent="0.2">
      <c r="B15" s="33">
        <f t="shared" ca="1" si="1"/>
        <v>43.254454132381426</v>
      </c>
      <c r="C15" s="28">
        <f t="shared" ca="1" si="0"/>
        <v>33.922555775503625</v>
      </c>
      <c r="D15" s="28">
        <f t="shared" ca="1" si="0"/>
        <v>68.356650301448596</v>
      </c>
      <c r="E15" s="28">
        <f t="shared" ca="1" si="0"/>
        <v>24.952529917936214</v>
      </c>
      <c r="F15" s="29">
        <f t="shared" ca="1" si="0"/>
        <v>38.760850791891805</v>
      </c>
    </row>
    <row r="16" spans="2:6" x14ac:dyDescent="0.2">
      <c r="B16" s="2"/>
      <c r="C16" s="2"/>
      <c r="D16" s="2"/>
    </row>
    <row r="17" spans="2:19" x14ac:dyDescent="0.2">
      <c r="B17" s="51" t="s">
        <v>13</v>
      </c>
      <c r="C17" s="52"/>
      <c r="D17" s="53"/>
      <c r="G17" s="30"/>
      <c r="H17" s="49" t="s">
        <v>3</v>
      </c>
      <c r="I17" s="49" t="s">
        <v>4</v>
      </c>
      <c r="J17" s="49" t="s">
        <v>7</v>
      </c>
      <c r="K17" s="49" t="s">
        <v>5</v>
      </c>
      <c r="L17" s="49" t="s">
        <v>6</v>
      </c>
      <c r="N17" s="51" t="s">
        <v>19</v>
      </c>
      <c r="O17" s="52"/>
      <c r="P17" s="53"/>
    </row>
    <row r="18" spans="2:19" x14ac:dyDescent="0.2">
      <c r="B18" s="10" t="s">
        <v>10</v>
      </c>
      <c r="C18" s="11" t="s">
        <v>8</v>
      </c>
      <c r="D18" s="12" t="s">
        <v>9</v>
      </c>
      <c r="G18" s="48" t="s">
        <v>12</v>
      </c>
      <c r="H18" s="31">
        <f ca="1">MIN(SampleU)</f>
        <v>17.461042425667131</v>
      </c>
      <c r="I18" s="31">
        <f ca="1">QUARTILE(SampleU,1)</f>
        <v>33.712953019371767</v>
      </c>
      <c r="J18" s="31">
        <f ca="1">QUARTILE(SampleU,2)</f>
        <v>46.172888281711309</v>
      </c>
      <c r="K18" s="31">
        <f ca="1">QUARTILE(SampleU,3)</f>
        <v>61.598339174639932</v>
      </c>
      <c r="L18" s="31">
        <f ca="1">MAX(SampleU)</f>
        <v>83.731460391043655</v>
      </c>
      <c r="N18" s="10" t="s">
        <v>10</v>
      </c>
      <c r="O18" s="11" t="s">
        <v>8</v>
      </c>
      <c r="P18" s="12" t="s">
        <v>9</v>
      </c>
      <c r="S18" s="46"/>
    </row>
    <row r="19" spans="2:19" x14ac:dyDescent="0.2">
      <c r="B19" s="13" t="s">
        <v>3</v>
      </c>
      <c r="C19" s="8">
        <f ca="1">MIN(Sample)</f>
        <v>17.461042425667131</v>
      </c>
      <c r="D19" s="14">
        <v>1.5</v>
      </c>
      <c r="G19" s="48" t="s">
        <v>22</v>
      </c>
      <c r="H19" s="31">
        <f>AA</f>
        <v>16</v>
      </c>
      <c r="I19" s="31">
        <f>AA+(0.25*(BB-AA))</f>
        <v>33.25</v>
      </c>
      <c r="J19" s="31">
        <f>(AA+BB)/2</f>
        <v>50.5</v>
      </c>
      <c r="K19" s="31">
        <f>AA+(0.75*(BB-AA))</f>
        <v>67.75</v>
      </c>
      <c r="L19" s="31">
        <f>BB</f>
        <v>85</v>
      </c>
      <c r="N19" s="13" t="s">
        <v>3</v>
      </c>
      <c r="O19" s="8">
        <f>H19</f>
        <v>16</v>
      </c>
      <c r="P19" s="14">
        <v>4.5</v>
      </c>
    </row>
    <row r="20" spans="2:19" x14ac:dyDescent="0.2">
      <c r="B20" s="13" t="s">
        <v>4</v>
      </c>
      <c r="C20" s="8">
        <f ca="1">QUARTILE(Sample,1)</f>
        <v>33.712953019371767</v>
      </c>
      <c r="D20" s="14">
        <v>1.5</v>
      </c>
      <c r="N20" s="13" t="s">
        <v>4</v>
      </c>
      <c r="O20" s="8">
        <f>I19</f>
        <v>33.25</v>
      </c>
      <c r="P20" s="14">
        <v>4.5</v>
      </c>
    </row>
    <row r="21" spans="2:19" x14ac:dyDescent="0.2">
      <c r="B21" s="13"/>
      <c r="C21" s="8"/>
      <c r="D21" s="14"/>
      <c r="N21" s="13"/>
      <c r="O21" s="8"/>
      <c r="P21" s="14"/>
    </row>
    <row r="22" spans="2:19" x14ac:dyDescent="0.2">
      <c r="B22" s="13" t="s">
        <v>4</v>
      </c>
      <c r="C22" s="8">
        <f ca="1">QUARTILE(Sample,1)</f>
        <v>33.712953019371767</v>
      </c>
      <c r="D22" s="14">
        <v>2.5</v>
      </c>
      <c r="N22" s="13" t="s">
        <v>4</v>
      </c>
      <c r="O22" s="8">
        <f>I19</f>
        <v>33.25</v>
      </c>
      <c r="P22" s="14">
        <v>5.5</v>
      </c>
    </row>
    <row r="23" spans="2:19" x14ac:dyDescent="0.2">
      <c r="B23" s="13" t="s">
        <v>5</v>
      </c>
      <c r="C23" s="8">
        <f ca="1">QUARTILE(Sample,3)</f>
        <v>61.598339174639932</v>
      </c>
      <c r="D23" s="14">
        <v>2.5</v>
      </c>
      <c r="N23" s="13" t="s">
        <v>5</v>
      </c>
      <c r="O23" s="8">
        <f>K19</f>
        <v>67.75</v>
      </c>
      <c r="P23" s="14">
        <v>5.5</v>
      </c>
    </row>
    <row r="24" spans="2:19" x14ac:dyDescent="0.2">
      <c r="B24" s="13" t="s">
        <v>5</v>
      </c>
      <c r="C24" s="8">
        <f ca="1">QUARTILE(Sample,3)</f>
        <v>61.598339174639932</v>
      </c>
      <c r="D24" s="14">
        <v>0.5</v>
      </c>
      <c r="N24" s="13" t="s">
        <v>5</v>
      </c>
      <c r="O24" s="8">
        <f>K19</f>
        <v>67.75</v>
      </c>
      <c r="P24" s="14">
        <v>3.5</v>
      </c>
    </row>
    <row r="25" spans="2:19" x14ac:dyDescent="0.2">
      <c r="B25" s="13" t="s">
        <v>4</v>
      </c>
      <c r="C25" s="8">
        <f ca="1">QUARTILE(Sample,1)</f>
        <v>33.712953019371767</v>
      </c>
      <c r="D25" s="14">
        <v>0.5</v>
      </c>
      <c r="N25" s="13" t="s">
        <v>4</v>
      </c>
      <c r="O25" s="8">
        <f>I19</f>
        <v>33.25</v>
      </c>
      <c r="P25" s="14">
        <v>3.5</v>
      </c>
    </row>
    <row r="26" spans="2:19" x14ac:dyDescent="0.2">
      <c r="B26" s="13" t="s">
        <v>4</v>
      </c>
      <c r="C26" s="8">
        <f ca="1">QUARTILE(Sample,1)</f>
        <v>33.712953019371767</v>
      </c>
      <c r="D26" s="14">
        <v>2.5</v>
      </c>
      <c r="N26" s="13" t="s">
        <v>4</v>
      </c>
      <c r="O26" s="8">
        <f>I19</f>
        <v>33.25</v>
      </c>
      <c r="P26" s="14">
        <v>5.5</v>
      </c>
    </row>
    <row r="27" spans="2:19" x14ac:dyDescent="0.2">
      <c r="B27" s="13"/>
      <c r="C27" s="8"/>
      <c r="D27" s="14"/>
      <c r="N27" s="13"/>
      <c r="O27" s="8"/>
      <c r="P27" s="14"/>
    </row>
    <row r="28" spans="2:19" x14ac:dyDescent="0.2">
      <c r="B28" s="13" t="s">
        <v>5</v>
      </c>
      <c r="C28" s="8">
        <f ca="1">QUARTILE(Sample,3)</f>
        <v>61.598339174639932</v>
      </c>
      <c r="D28" s="14">
        <v>1.5</v>
      </c>
      <c r="N28" s="13" t="s">
        <v>5</v>
      </c>
      <c r="O28" s="8">
        <f>K19</f>
        <v>67.75</v>
      </c>
      <c r="P28" s="14">
        <v>4.5</v>
      </c>
    </row>
    <row r="29" spans="2:19" x14ac:dyDescent="0.2">
      <c r="B29" s="13" t="s">
        <v>6</v>
      </c>
      <c r="C29" s="8">
        <f ca="1">MAX(Sample)</f>
        <v>83.731460391043655</v>
      </c>
      <c r="D29" s="14">
        <v>1.5</v>
      </c>
      <c r="N29" s="13" t="s">
        <v>6</v>
      </c>
      <c r="O29" s="8">
        <f>L19</f>
        <v>85</v>
      </c>
      <c r="P29" s="14">
        <v>4.5</v>
      </c>
    </row>
    <row r="30" spans="2:19" x14ac:dyDescent="0.2">
      <c r="B30" s="13"/>
      <c r="C30" s="8"/>
      <c r="D30" s="14"/>
      <c r="N30" s="13"/>
      <c r="O30" s="8"/>
      <c r="P30" s="14">
        <v>3</v>
      </c>
    </row>
    <row r="31" spans="2:19" x14ac:dyDescent="0.2">
      <c r="B31" s="13" t="s">
        <v>7</v>
      </c>
      <c r="C31" s="8">
        <f ca="1">QUARTILE(Sample,2)</f>
        <v>46.172888281711309</v>
      </c>
      <c r="D31" s="14">
        <v>0.5</v>
      </c>
      <c r="N31" s="13" t="s">
        <v>7</v>
      </c>
      <c r="O31" s="8">
        <f>J19</f>
        <v>50.5</v>
      </c>
      <c r="P31" s="14">
        <v>3.5</v>
      </c>
    </row>
    <row r="32" spans="2:19" x14ac:dyDescent="0.2">
      <c r="B32" s="13" t="s">
        <v>7</v>
      </c>
      <c r="C32" s="8">
        <f ca="1">QUARTILE(Sample,2)</f>
        <v>46.172888281711309</v>
      </c>
      <c r="D32" s="14">
        <v>2.5</v>
      </c>
      <c r="N32" s="13" t="s">
        <v>7</v>
      </c>
      <c r="O32" s="8">
        <f>J19</f>
        <v>50.5</v>
      </c>
      <c r="P32" s="14">
        <v>5.5</v>
      </c>
    </row>
    <row r="33" spans="2:16" x14ac:dyDescent="0.2">
      <c r="B33" s="13"/>
      <c r="C33" s="8"/>
      <c r="D33" s="14"/>
      <c r="N33" s="13"/>
      <c r="O33" s="8"/>
      <c r="P33" s="14"/>
    </row>
    <row r="34" spans="2:16" x14ac:dyDescent="0.2">
      <c r="B34" s="13" t="s">
        <v>5</v>
      </c>
      <c r="C34" s="8">
        <f ca="1">QUARTILE(Sample,3)</f>
        <v>61.598339174639932</v>
      </c>
      <c r="D34" s="14">
        <v>2.5</v>
      </c>
      <c r="N34" s="13" t="s">
        <v>5</v>
      </c>
      <c r="O34" s="8">
        <f>K19</f>
        <v>67.75</v>
      </c>
      <c r="P34" s="14">
        <v>5.5</v>
      </c>
    </row>
    <row r="35" spans="2:16" x14ac:dyDescent="0.2">
      <c r="B35" s="15" t="s">
        <v>5</v>
      </c>
      <c r="C35" s="16">
        <f ca="1">QUARTILE(Sample,3)</f>
        <v>61.598339174639932</v>
      </c>
      <c r="D35" s="17">
        <v>0.5</v>
      </c>
      <c r="N35" s="15" t="s">
        <v>5</v>
      </c>
      <c r="O35" s="16">
        <f>K19</f>
        <v>67.75</v>
      </c>
      <c r="P35" s="17">
        <v>3.5</v>
      </c>
    </row>
  </sheetData>
  <sheetProtection sheet="1" formatCells="0" formatColumns="0" formatRows="0"/>
  <mergeCells count="7">
    <mergeCell ref="N17:P17"/>
    <mergeCell ref="B5:F5"/>
    <mergeCell ref="B17:D17"/>
    <mergeCell ref="E1:E2"/>
    <mergeCell ref="F1:F2"/>
    <mergeCell ref="E3:E4"/>
    <mergeCell ref="F3:F4"/>
  </mergeCells>
  <phoneticPr fontId="0" type="noConversion"/>
  <conditionalFormatting sqref="F1:F4">
    <cfRule type="expression" dxfId="0" priority="1" stopIfTrue="1">
      <formula>AA&gt;BB</formula>
    </cfRule>
  </conditionalFormatting>
  <dataValidations count="1">
    <dataValidation type="decimal" allowBlank="1" showInputMessage="1" showErrorMessage="1" errorTitle="Invalid Parameter" error="Range is -10,000 through +10,000." sqref="F1:F4" xr:uid="{00000000-0002-0000-0200-000000000000}">
      <formula1>-10000</formula1>
      <formula2>10000</formula2>
    </dataValidation>
  </dataValidations>
  <pageMargins left="0.75" right="0.75" top="1" bottom="1" header="0.5" footer="0.5"/>
  <pageSetup scale="7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Q35"/>
  <sheetViews>
    <sheetView showGridLines="0" workbookViewId="0"/>
  </sheetViews>
  <sheetFormatPr defaultRowHeight="12.75" x14ac:dyDescent="0.2"/>
  <cols>
    <col min="1" max="1" width="3.85546875" style="1" customWidth="1"/>
    <col min="2" max="5" width="9.140625" style="1"/>
    <col min="6" max="6" width="10.7109375" style="1" customWidth="1"/>
    <col min="7" max="7" width="13.7109375" style="1" customWidth="1"/>
    <col min="8" max="16384" width="9.140625" style="1"/>
  </cols>
  <sheetData>
    <row r="1" spans="2:15" ht="15" customHeight="1" x14ac:dyDescent="0.2">
      <c r="B1" s="45" t="s">
        <v>24</v>
      </c>
      <c r="E1" s="62" t="s">
        <v>18</v>
      </c>
      <c r="F1" s="62"/>
    </row>
    <row r="2" spans="2:15" ht="12.75" customHeight="1" x14ac:dyDescent="0.2">
      <c r="F2" s="4">
        <v>2</v>
      </c>
    </row>
    <row r="3" spans="2:15" x14ac:dyDescent="0.2">
      <c r="D3" s="5"/>
      <c r="E3" s="5"/>
      <c r="F3" s="4"/>
    </row>
    <row r="4" spans="2:15" x14ac:dyDescent="0.2">
      <c r="E4"/>
      <c r="F4"/>
    </row>
    <row r="5" spans="2:15" x14ac:dyDescent="0.2">
      <c r="B5" s="59" t="s">
        <v>2</v>
      </c>
      <c r="C5" s="60"/>
      <c r="D5" s="60"/>
      <c r="E5" s="60"/>
      <c r="F5" s="61"/>
    </row>
    <row r="6" spans="2:15" x14ac:dyDescent="0.2">
      <c r="B6" s="42">
        <f t="shared" ref="B6:F15" ca="1" si="0">CHIINV(RAND(),ChiDF)</f>
        <v>4.9569985468316338</v>
      </c>
      <c r="C6" s="43">
        <f t="shared" ca="1" si="0"/>
        <v>4.1697537636223325</v>
      </c>
      <c r="D6" s="43">
        <f t="shared" ca="1" si="0"/>
        <v>1.4345182485664294</v>
      </c>
      <c r="E6" s="43">
        <f t="shared" ca="1" si="0"/>
        <v>4.3731200570839341</v>
      </c>
      <c r="F6" s="44">
        <f t="shared" ca="1" si="0"/>
        <v>2.7379708898381061</v>
      </c>
      <c r="N6" s="6" t="s">
        <v>14</v>
      </c>
      <c r="O6" s="6"/>
    </row>
    <row r="7" spans="2:15" x14ac:dyDescent="0.2">
      <c r="B7" s="32">
        <f t="shared" ca="1" si="0"/>
        <v>1.8764280935613766</v>
      </c>
      <c r="C7" s="7">
        <f t="shared" ca="1" si="0"/>
        <v>3.8187516069352614</v>
      </c>
      <c r="D7" s="7">
        <f t="shared" ca="1" si="0"/>
        <v>2.0278525527708391</v>
      </c>
      <c r="E7" s="7">
        <f t="shared" ca="1" si="0"/>
        <v>3.9106211148344823</v>
      </c>
      <c r="F7" s="27">
        <f t="shared" ca="1" si="0"/>
        <v>2.3852512794710714</v>
      </c>
      <c r="N7" s="6" t="s">
        <v>15</v>
      </c>
      <c r="O7" s="6"/>
    </row>
    <row r="8" spans="2:15" x14ac:dyDescent="0.2">
      <c r="B8" s="32">
        <f t="shared" ca="1" si="0"/>
        <v>1.8756844630545941</v>
      </c>
      <c r="C8" s="7">
        <f t="shared" ca="1" si="0"/>
        <v>4.1051198496008618</v>
      </c>
      <c r="D8" s="7">
        <f t="shared" ca="1" si="0"/>
        <v>1.5608899344291276</v>
      </c>
      <c r="E8" s="7">
        <f t="shared" ca="1" si="0"/>
        <v>1.2773087656449016</v>
      </c>
      <c r="F8" s="27">
        <f t="shared" ca="1" si="0"/>
        <v>2.8338026702307748</v>
      </c>
      <c r="N8" s="6" t="s">
        <v>20</v>
      </c>
      <c r="O8" s="6"/>
    </row>
    <row r="9" spans="2:15" x14ac:dyDescent="0.2">
      <c r="B9" s="32">
        <f t="shared" ca="1" si="0"/>
        <v>7.0168674087768572</v>
      </c>
      <c r="C9" s="7">
        <f t="shared" ca="1" si="0"/>
        <v>11.699017151645638</v>
      </c>
      <c r="D9" s="7">
        <f t="shared" ca="1" si="0"/>
        <v>5.8495878081148671</v>
      </c>
      <c r="E9" s="7">
        <f t="shared" ca="1" si="0"/>
        <v>1.4273430186759619</v>
      </c>
      <c r="F9" s="27">
        <f t="shared" ca="1" si="0"/>
        <v>2.4278321232053246</v>
      </c>
      <c r="N9" s="6" t="s">
        <v>16</v>
      </c>
      <c r="O9" s="6">
        <f>IF(O10=1,7,IF(O10=2,4,2))</f>
        <v>4</v>
      </c>
    </row>
    <row r="10" spans="2:15" x14ac:dyDescent="0.2">
      <c r="B10" s="32">
        <f t="shared" ca="1" si="0"/>
        <v>1.8874176919420562</v>
      </c>
      <c r="C10" s="7">
        <f t="shared" ca="1" si="0"/>
        <v>1.5734611814264161</v>
      </c>
      <c r="D10" s="7">
        <f t="shared" ca="1" si="0"/>
        <v>8.3269580699926742</v>
      </c>
      <c r="E10" s="7">
        <f t="shared" ca="1" si="0"/>
        <v>4.5764524137003333</v>
      </c>
      <c r="F10" s="27">
        <f t="shared" ca="1" si="0"/>
        <v>5.2198013048957241</v>
      </c>
      <c r="N10" s="6" t="s">
        <v>17</v>
      </c>
      <c r="O10" s="1">
        <v>2</v>
      </c>
    </row>
    <row r="11" spans="2:15" x14ac:dyDescent="0.2">
      <c r="B11" s="32">
        <f t="shared" ca="1" si="0"/>
        <v>1.8962696624648829</v>
      </c>
      <c r="C11" s="7">
        <f t="shared" ca="1" si="0"/>
        <v>3.0628144143822129</v>
      </c>
      <c r="D11" s="7">
        <f t="shared" ca="1" si="0"/>
        <v>4.6297401961384548</v>
      </c>
      <c r="E11" s="7">
        <f t="shared" ca="1" si="0"/>
        <v>2.413850880337137</v>
      </c>
      <c r="F11" s="27">
        <f t="shared" ca="1" si="0"/>
        <v>3.4976052915541844</v>
      </c>
    </row>
    <row r="12" spans="2:15" x14ac:dyDescent="0.2">
      <c r="B12" s="32">
        <f t="shared" ca="1" si="0"/>
        <v>7.0552621036999055</v>
      </c>
      <c r="C12" s="7">
        <f t="shared" ca="1" si="0"/>
        <v>3.0925679477538561</v>
      </c>
      <c r="D12" s="7">
        <f t="shared" ca="1" si="0"/>
        <v>3.1490247232245419</v>
      </c>
      <c r="E12" s="7">
        <f t="shared" ca="1" si="0"/>
        <v>3.3286749915383358</v>
      </c>
      <c r="F12" s="27">
        <f t="shared" ca="1" si="0"/>
        <v>1.2913798735977557</v>
      </c>
    </row>
    <row r="13" spans="2:15" x14ac:dyDescent="0.2">
      <c r="B13" s="32">
        <f t="shared" ca="1" si="0"/>
        <v>1.1012362039696089</v>
      </c>
      <c r="C13" s="7">
        <f t="shared" ca="1" si="0"/>
        <v>4.5490998661283353</v>
      </c>
      <c r="D13" s="7">
        <f t="shared" ca="1" si="0"/>
        <v>1.512945355674352</v>
      </c>
      <c r="E13" s="7">
        <f t="shared" ca="1" si="0"/>
        <v>7.1231229833995107</v>
      </c>
      <c r="F13" s="27">
        <f t="shared" ca="1" si="0"/>
        <v>4.0126087494881428</v>
      </c>
    </row>
    <row r="14" spans="2:15" x14ac:dyDescent="0.2">
      <c r="B14" s="32">
        <f t="shared" ca="1" si="0"/>
        <v>4.9431420517151166</v>
      </c>
      <c r="C14" s="7">
        <f t="shared" ca="1" si="0"/>
        <v>2.271342405459817</v>
      </c>
      <c r="D14" s="7">
        <f t="shared" ca="1" si="0"/>
        <v>0.36097249298199685</v>
      </c>
      <c r="E14" s="7">
        <f t="shared" ca="1" si="0"/>
        <v>2.4055237507379377</v>
      </c>
      <c r="F14" s="27">
        <f t="shared" ca="1" si="0"/>
        <v>5.8800199987380486</v>
      </c>
    </row>
    <row r="15" spans="2:15" x14ac:dyDescent="0.2">
      <c r="B15" s="33">
        <f t="shared" ca="1" si="0"/>
        <v>4.5638976886463416</v>
      </c>
      <c r="C15" s="28">
        <f t="shared" ca="1" si="0"/>
        <v>2.0168323421739895</v>
      </c>
      <c r="D15" s="28">
        <f t="shared" ca="1" si="0"/>
        <v>3.0633952230703487</v>
      </c>
      <c r="E15" s="28">
        <f t="shared" ca="1" si="0"/>
        <v>6.4142143715234337</v>
      </c>
      <c r="F15" s="29">
        <f t="shared" ca="1" si="0"/>
        <v>2.5443111319968303</v>
      </c>
    </row>
    <row r="16" spans="2:15" x14ac:dyDescent="0.2">
      <c r="B16" s="2"/>
      <c r="C16" s="2"/>
      <c r="D16" s="2"/>
    </row>
    <row r="17" spans="2:17" x14ac:dyDescent="0.2">
      <c r="B17" s="51" t="s">
        <v>13</v>
      </c>
      <c r="C17" s="52"/>
      <c r="D17" s="53"/>
      <c r="G17" s="30"/>
      <c r="H17" s="49" t="s">
        <v>3</v>
      </c>
      <c r="I17" s="49" t="s">
        <v>4</v>
      </c>
      <c r="J17" s="49" t="s">
        <v>7</v>
      </c>
      <c r="K17" s="49" t="s">
        <v>5</v>
      </c>
      <c r="L17" s="49" t="s">
        <v>6</v>
      </c>
      <c r="N17" s="51" t="s">
        <v>19</v>
      </c>
      <c r="O17" s="52"/>
      <c r="P17" s="53"/>
    </row>
    <row r="18" spans="2:17" x14ac:dyDescent="0.2">
      <c r="B18" s="10" t="s">
        <v>10</v>
      </c>
      <c r="C18" s="11" t="s">
        <v>8</v>
      </c>
      <c r="D18" s="12" t="s">
        <v>9</v>
      </c>
      <c r="G18" s="48" t="s">
        <v>12</v>
      </c>
      <c r="H18" s="31">
        <f ca="1">MIN(Sample)</f>
        <v>0.36097249298199685</v>
      </c>
      <c r="I18" s="31">
        <f ca="1">QUARTILE(Sample,1)</f>
        <v>1.9264103323921595</v>
      </c>
      <c r="J18" s="31">
        <f ca="1">QUARTILE(Sample,2)</f>
        <v>3.0779815854121022</v>
      </c>
      <c r="K18" s="31">
        <f ca="1">QUARTILE(Sample,3)</f>
        <v>4.5733137324368354</v>
      </c>
      <c r="L18" s="31">
        <f ca="1">MAX(Sample)</f>
        <v>11.699017151645638</v>
      </c>
      <c r="N18" s="10" t="s">
        <v>10</v>
      </c>
      <c r="O18" s="11" t="s">
        <v>8</v>
      </c>
      <c r="P18" s="12" t="s">
        <v>9</v>
      </c>
    </row>
    <row r="19" spans="2:17" x14ac:dyDescent="0.2">
      <c r="B19" s="13" t="s">
        <v>3</v>
      </c>
      <c r="C19" s="8">
        <f ca="1">MIN(Sample)</f>
        <v>0.36097249298199685</v>
      </c>
      <c r="D19" s="14">
        <v>1.5</v>
      </c>
      <c r="G19" s="48" t="s">
        <v>22</v>
      </c>
      <c r="H19" s="31">
        <f>CHIINV(0.99,ChiDF)</f>
        <v>0.29710948050653158</v>
      </c>
      <c r="I19" s="31">
        <f>CHIINV(0.75,ChiDF)</f>
        <v>1.9225575262295547</v>
      </c>
      <c r="J19" s="31">
        <f>CHIINV(0.5,ChiDF)</f>
        <v>3.3566939800333211</v>
      </c>
      <c r="K19" s="31">
        <f>CHIINV(0.25,ChiDF)</f>
        <v>5.385269057779392</v>
      </c>
      <c r="L19" s="31">
        <f>CHIINV(0.01,ChiDF)</f>
        <v>13.276704135987623</v>
      </c>
      <c r="N19" s="13" t="s">
        <v>3</v>
      </c>
      <c r="O19" s="8">
        <f>H19</f>
        <v>0.29710948050653158</v>
      </c>
      <c r="P19" s="14">
        <v>4.5</v>
      </c>
      <c r="Q19" s="3"/>
    </row>
    <row r="20" spans="2:17" x14ac:dyDescent="0.2">
      <c r="B20" s="13" t="s">
        <v>4</v>
      </c>
      <c r="C20" s="8">
        <f ca="1">QUARTILE(Sample,1)</f>
        <v>1.9264103323921595</v>
      </c>
      <c r="D20" s="14">
        <v>1.5</v>
      </c>
      <c r="N20" s="13" t="s">
        <v>4</v>
      </c>
      <c r="O20" s="8">
        <f>I19</f>
        <v>1.9225575262295547</v>
      </c>
      <c r="P20" s="14">
        <v>4.5</v>
      </c>
      <c r="Q20" s="3"/>
    </row>
    <row r="21" spans="2:17" x14ac:dyDescent="0.2">
      <c r="B21" s="13"/>
      <c r="C21" s="8"/>
      <c r="D21" s="14"/>
      <c r="N21" s="13"/>
      <c r="O21" s="8"/>
      <c r="P21" s="14"/>
      <c r="Q21" s="3"/>
    </row>
    <row r="22" spans="2:17" x14ac:dyDescent="0.2">
      <c r="B22" s="13" t="s">
        <v>4</v>
      </c>
      <c r="C22" s="8">
        <f ca="1">QUARTILE(Sample,1)</f>
        <v>1.9264103323921595</v>
      </c>
      <c r="D22" s="14">
        <v>2.5</v>
      </c>
      <c r="N22" s="13" t="s">
        <v>4</v>
      </c>
      <c r="O22" s="8">
        <f>I19</f>
        <v>1.9225575262295547</v>
      </c>
      <c r="P22" s="14">
        <v>5.5</v>
      </c>
      <c r="Q22" s="3"/>
    </row>
    <row r="23" spans="2:17" x14ac:dyDescent="0.2">
      <c r="B23" s="13" t="s">
        <v>5</v>
      </c>
      <c r="C23" s="8">
        <f ca="1">QUARTILE(Sample,3)</f>
        <v>4.5733137324368354</v>
      </c>
      <c r="D23" s="14">
        <v>2.5</v>
      </c>
      <c r="N23" s="13" t="s">
        <v>5</v>
      </c>
      <c r="O23" s="8">
        <f>K19</f>
        <v>5.385269057779392</v>
      </c>
      <c r="P23" s="14">
        <v>5.5</v>
      </c>
      <c r="Q23" s="3"/>
    </row>
    <row r="24" spans="2:17" x14ac:dyDescent="0.2">
      <c r="B24" s="13" t="s">
        <v>5</v>
      </c>
      <c r="C24" s="8">
        <f ca="1">QUARTILE(Sample,3)</f>
        <v>4.5733137324368354</v>
      </c>
      <c r="D24" s="14">
        <v>0.5</v>
      </c>
      <c r="N24" s="13" t="s">
        <v>5</v>
      </c>
      <c r="O24" s="8">
        <f>K19</f>
        <v>5.385269057779392</v>
      </c>
      <c r="P24" s="14">
        <v>3.5</v>
      </c>
      <c r="Q24" s="3"/>
    </row>
    <row r="25" spans="2:17" x14ac:dyDescent="0.2">
      <c r="B25" s="13" t="s">
        <v>4</v>
      </c>
      <c r="C25" s="8">
        <f ca="1">QUARTILE(Sample,1)</f>
        <v>1.9264103323921595</v>
      </c>
      <c r="D25" s="14">
        <v>0.5</v>
      </c>
      <c r="N25" s="13" t="s">
        <v>4</v>
      </c>
      <c r="O25" s="8">
        <f>I19</f>
        <v>1.9225575262295547</v>
      </c>
      <c r="P25" s="14">
        <v>3.5</v>
      </c>
      <c r="Q25" s="3"/>
    </row>
    <row r="26" spans="2:17" x14ac:dyDescent="0.2">
      <c r="B26" s="13" t="s">
        <v>4</v>
      </c>
      <c r="C26" s="8">
        <f ca="1">QUARTILE(Sample,1)</f>
        <v>1.9264103323921595</v>
      </c>
      <c r="D26" s="14">
        <v>2.5</v>
      </c>
      <c r="N26" s="13" t="s">
        <v>4</v>
      </c>
      <c r="O26" s="8">
        <f>I19</f>
        <v>1.9225575262295547</v>
      </c>
      <c r="P26" s="14">
        <v>5.5</v>
      </c>
      <c r="Q26" s="3"/>
    </row>
    <row r="27" spans="2:17" x14ac:dyDescent="0.2">
      <c r="B27" s="13"/>
      <c r="C27" s="8"/>
      <c r="D27" s="14"/>
      <c r="N27" s="13"/>
      <c r="O27" s="8"/>
      <c r="P27" s="14"/>
      <c r="Q27" s="3"/>
    </row>
    <row r="28" spans="2:17" x14ac:dyDescent="0.2">
      <c r="B28" s="13" t="s">
        <v>5</v>
      </c>
      <c r="C28" s="8">
        <f ca="1">QUARTILE(Sample,3)</f>
        <v>4.5733137324368354</v>
      </c>
      <c r="D28" s="14">
        <v>1.5</v>
      </c>
      <c r="N28" s="13" t="s">
        <v>5</v>
      </c>
      <c r="O28" s="8">
        <f>K19</f>
        <v>5.385269057779392</v>
      </c>
      <c r="P28" s="14">
        <v>4.5</v>
      </c>
      <c r="Q28" s="3"/>
    </row>
    <row r="29" spans="2:17" x14ac:dyDescent="0.2">
      <c r="B29" s="13" t="s">
        <v>6</v>
      </c>
      <c r="C29" s="8">
        <f ca="1">MAX(Sample)</f>
        <v>11.699017151645638</v>
      </c>
      <c r="D29" s="14">
        <v>1.5</v>
      </c>
      <c r="N29" s="13" t="s">
        <v>6</v>
      </c>
      <c r="O29" s="8">
        <f>L19</f>
        <v>13.276704135987623</v>
      </c>
      <c r="P29" s="14">
        <v>4.5</v>
      </c>
      <c r="Q29" s="3"/>
    </row>
    <row r="30" spans="2:17" x14ac:dyDescent="0.2">
      <c r="B30" s="13"/>
      <c r="C30" s="8"/>
      <c r="D30" s="14"/>
      <c r="N30" s="13"/>
      <c r="O30" s="8"/>
      <c r="P30" s="14">
        <v>3</v>
      </c>
      <c r="Q30" s="3"/>
    </row>
    <row r="31" spans="2:17" x14ac:dyDescent="0.2">
      <c r="B31" s="13" t="s">
        <v>7</v>
      </c>
      <c r="C31" s="8">
        <f ca="1">QUARTILE(Sample,2)</f>
        <v>3.0779815854121022</v>
      </c>
      <c r="D31" s="14">
        <v>0.5</v>
      </c>
      <c r="N31" s="13" t="s">
        <v>7</v>
      </c>
      <c r="O31" s="8">
        <f>J19</f>
        <v>3.3566939800333211</v>
      </c>
      <c r="P31" s="14">
        <v>3.5</v>
      </c>
      <c r="Q31" s="3"/>
    </row>
    <row r="32" spans="2:17" x14ac:dyDescent="0.2">
      <c r="B32" s="13" t="s">
        <v>7</v>
      </c>
      <c r="C32" s="8">
        <f ca="1">QUARTILE(Sample,2)</f>
        <v>3.0779815854121022</v>
      </c>
      <c r="D32" s="14">
        <v>2.5</v>
      </c>
      <c r="N32" s="13" t="s">
        <v>7</v>
      </c>
      <c r="O32" s="8">
        <f>J19</f>
        <v>3.3566939800333211</v>
      </c>
      <c r="P32" s="14">
        <v>5.5</v>
      </c>
      <c r="Q32" s="3"/>
    </row>
    <row r="33" spans="2:17" x14ac:dyDescent="0.2">
      <c r="B33" s="13"/>
      <c r="C33" s="8"/>
      <c r="D33" s="14"/>
      <c r="N33" s="13"/>
      <c r="O33" s="8"/>
      <c r="P33" s="14"/>
      <c r="Q33" s="3"/>
    </row>
    <row r="34" spans="2:17" x14ac:dyDescent="0.2">
      <c r="B34" s="13" t="s">
        <v>5</v>
      </c>
      <c r="C34" s="8">
        <f ca="1">QUARTILE(Sample,3)</f>
        <v>4.5733137324368354</v>
      </c>
      <c r="D34" s="14">
        <v>2.5</v>
      </c>
      <c r="N34" s="13" t="s">
        <v>5</v>
      </c>
      <c r="O34" s="8">
        <f>K19</f>
        <v>5.385269057779392</v>
      </c>
      <c r="P34" s="14">
        <v>5.5</v>
      </c>
      <c r="Q34" s="3"/>
    </row>
    <row r="35" spans="2:17" x14ac:dyDescent="0.2">
      <c r="B35" s="15" t="s">
        <v>5</v>
      </c>
      <c r="C35" s="16">
        <f ca="1">QUARTILE(Sample,3)</f>
        <v>4.5733137324368354</v>
      </c>
      <c r="D35" s="17">
        <v>0.5</v>
      </c>
      <c r="N35" s="15" t="s">
        <v>5</v>
      </c>
      <c r="O35" s="16">
        <f>K19</f>
        <v>5.385269057779392</v>
      </c>
      <c r="P35" s="17">
        <v>3.5</v>
      </c>
      <c r="Q35" s="3"/>
    </row>
  </sheetData>
  <sheetProtection sheet="1" formatCells="0" formatColumns="0" formatRows="0"/>
  <mergeCells count="4">
    <mergeCell ref="E1:F1"/>
    <mergeCell ref="N17:P17"/>
    <mergeCell ref="B5:F5"/>
    <mergeCell ref="B17:D17"/>
  </mergeCells>
  <phoneticPr fontId="0" type="noConversion"/>
  <pageMargins left="0.75" right="0.75" top="1" bottom="1" header="0.5" footer="0.5"/>
  <pageSetup scale="83"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7177" r:id="rId4" name="Drop Down 9">
              <controlPr defaultSize="0" autoLine="0" autoPict="0">
                <anchor moveWithCells="1">
                  <from>
                    <xdr:col>4</xdr:col>
                    <xdr:colOff>190500</xdr:colOff>
                    <xdr:row>1</xdr:row>
                    <xdr:rowOff>9525</xdr:rowOff>
                  </from>
                  <to>
                    <xdr:col>5</xdr:col>
                    <xdr:colOff>447675</xdr:colOff>
                    <xdr:row>2</xdr:row>
                    <xdr:rowOff>76200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D23" sqref="D23"/>
    </sheetView>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13</vt:i4>
      </vt:variant>
    </vt:vector>
  </HeadingPairs>
  <TitlesOfParts>
    <vt:vector size="18" baseType="lpstr">
      <vt:lpstr>Overview</vt:lpstr>
      <vt:lpstr>Normal</vt:lpstr>
      <vt:lpstr>Uniform</vt:lpstr>
      <vt:lpstr>Skewed</vt:lpstr>
      <vt:lpstr>Extra Sheet</vt:lpstr>
      <vt:lpstr>AA</vt:lpstr>
      <vt:lpstr>BB</vt:lpstr>
      <vt:lpstr>ChiDF</vt:lpstr>
      <vt:lpstr>Uniform!Mean</vt:lpstr>
      <vt:lpstr>Mean</vt:lpstr>
      <vt:lpstr>Skewed!Sample</vt:lpstr>
      <vt:lpstr>Uniform!Sample</vt:lpstr>
      <vt:lpstr>Sample</vt:lpstr>
      <vt:lpstr>SampleS</vt:lpstr>
      <vt:lpstr>SampleU</vt:lpstr>
      <vt:lpstr>Skewed!StDev</vt:lpstr>
      <vt:lpstr>Uniform!StDev</vt:lpstr>
      <vt:lpstr>StDev</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Box Plot Simulation</dc:title>
  <dc:subject>Chapter 4  Describing Data</dc:subject>
  <dc:creator>David P. Doane</dc:creator>
  <dc:description>Copyright (c) 2025 by McGraw Hill LLC.  This material is intended solely for educational use licensed users of Connect. It may not be copied or resold.</dc:description>
  <cp:lastModifiedBy>David Doane</cp:lastModifiedBy>
  <cp:lastPrinted>2022-06-08T16:36:07Z</cp:lastPrinted>
  <dcterms:created xsi:type="dcterms:W3CDTF">2003-06-17T01:45:30Z</dcterms:created>
  <dcterms:modified xsi:type="dcterms:W3CDTF">2022-06-08T16:36:39Z</dcterms:modified>
</cp:coreProperties>
</file>